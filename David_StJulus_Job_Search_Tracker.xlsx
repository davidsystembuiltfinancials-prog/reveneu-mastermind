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Jobs" sheetId="2" state="visible" r:id="rId4"/>
    <sheet name="Pipeline" sheetId="3" state="visible" r:id="rId5"/>
    <sheet name="Activity Log" sheetId="4" state="visible" r:id="rId6"/>
    <sheet name="Contacts" sheetId="5" state="visible" r:id="rId7"/>
    <sheet name="SWOT" sheetId="6" state="visible" r:id="rId8"/>
    <sheet name="List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<sst xmlns="http://schemas.openxmlformats.org/spreadsheetml/2006/main" count="952" uniqueCount="495">
  <si>
    <t xml:space="preserve">JOB SEARCH  COMMAND  CENTER</t>
  </si>
  <si>
    <t xml:space="preserve">David St. Julus  —  Accountant · Bookkeeping · Financial Analysis    |    New Hampshire &amp; Massachusetts</t>
  </si>
  <si>
    <t xml:space="preserve">CHART DATA  —  live formulas, auto-calculate (no pivot refresh needed)</t>
  </si>
  <si>
    <t xml:space="preserve">Pipeline Stage</t>
  </si>
  <si>
    <t xml:space="preserve">Count</t>
  </si>
  <si>
    <t xml:space="preserve">Week Of</t>
  </si>
  <si>
    <t xml:space="preserve">Applications</t>
  </si>
  <si>
    <t xml:space="preserve">Total Fits</t>
  </si>
  <si>
    <t xml:space="preserve">Applied</t>
  </si>
  <si>
    <t xml:space="preserve">TOTAL FITS</t>
  </si>
  <si>
    <t xml:space="preserve">APPLIED</t>
  </si>
  <si>
    <t xml:space="preserve">CONTACTED</t>
  </si>
  <si>
    <t xml:space="preserve">RESPONSES</t>
  </si>
  <si>
    <t xml:space="preserve">INTERVIEWS</t>
  </si>
  <si>
    <t xml:space="preserve">OFFERS</t>
  </si>
  <si>
    <t xml:space="preserve">REJECTIONS</t>
  </si>
  <si>
    <t xml:space="preserve">Contacted</t>
  </si>
  <si>
    <t xml:space="preserve">Responded</t>
  </si>
  <si>
    <t xml:space="preserve">Interview</t>
  </si>
  <si>
    <t xml:space="preserve">Offer</t>
  </si>
  <si>
    <t xml:space="preserve">RESPONSE RATE</t>
  </si>
  <si>
    <t xml:space="preserve">INTERVIEW RATE</t>
  </si>
  <si>
    <t xml:space="preserve">OFFER RATE</t>
  </si>
  <si>
    <t xml:space="preserve">AVG DAYS → RESPONSE</t>
  </si>
  <si>
    <t xml:space="preserve">FOLLOW-UPS DUE</t>
  </si>
  <si>
    <t xml:space="preserve">GHOSTED (30d+)</t>
  </si>
  <si>
    <t xml:space="preserve">ACTIVE PIPELINE</t>
  </si>
  <si>
    <t xml:space="preserve">Industry</t>
  </si>
  <si>
    <t xml:space="preserve">Identified</t>
  </si>
  <si>
    <t xml:space="preserve">Accounting (CPA firms)</t>
  </si>
  <si>
    <t xml:space="preserve">PIPELINE  ·  INDUSTRY  ·  PACE  ·  SOURCE</t>
  </si>
  <si>
    <t xml:space="preserve">Accounting (corporate / industry)</t>
  </si>
  <si>
    <t xml:space="preserve">Government</t>
  </si>
  <si>
    <t xml:space="preserve">Nonprofit</t>
  </si>
  <si>
    <t xml:space="preserve">Finance</t>
  </si>
  <si>
    <t xml:space="preserve">Business operations</t>
  </si>
  <si>
    <t xml:space="preserve">Tech / AI</t>
  </si>
  <si>
    <t xml:space="preserve">Sales</t>
  </si>
  <si>
    <t xml:space="preserve">Sports business</t>
  </si>
  <si>
    <t xml:space="preserve">Other</t>
  </si>
  <si>
    <t xml:space="preserve">Source</t>
  </si>
  <si>
    <t xml:space="preserve">Responses</t>
  </si>
  <si>
    <t xml:space="preserve">Resp. Rate</t>
  </si>
  <si>
    <t xml:space="preserve">Indeed</t>
  </si>
  <si>
    <t xml:space="preserve">ZipRecruiter</t>
  </si>
  <si>
    <t xml:space="preserve">LinkedIn</t>
  </si>
  <si>
    <t xml:space="preserve">Company site</t>
  </si>
  <si>
    <t xml:space="preserve">Referral</t>
  </si>
  <si>
    <t xml:space="preserve">Manual</t>
  </si>
  <si>
    <t xml:space="preserve">Job ID</t>
  </si>
  <si>
    <t xml:space="preserve">Date Found</t>
  </si>
  <si>
    <t xml:space="preserve">Date Posted</t>
  </si>
  <si>
    <t xml:space="preserve">Company</t>
  </si>
  <si>
    <t xml:space="preserve">Title</t>
  </si>
  <si>
    <t xml:space="preserve">Location</t>
  </si>
  <si>
    <t xml:space="preserve">Work Mode</t>
  </si>
  <si>
    <t xml:space="preserve">Job Type</t>
  </si>
  <si>
    <t xml:space="preserve">Pay Range (raw)</t>
  </si>
  <si>
    <t xml:space="preserve">Annual Low $</t>
  </si>
  <si>
    <t xml:space="preserve">Annual High $</t>
  </si>
  <si>
    <t xml:space="preserve">Annual Mid $</t>
  </si>
  <si>
    <t xml:space="preserve">Apply Link</t>
  </si>
  <si>
    <t xml:space="preserve">Fit (1-5)</t>
  </si>
  <si>
    <t xml:space="preserve">Why It Fits You</t>
  </si>
  <si>
    <t xml:space="preserve">Resume Version</t>
  </si>
  <si>
    <t xml:space="preserve">Stage</t>
  </si>
  <si>
    <t xml:space="preserve">Response</t>
  </si>
  <si>
    <t xml:space="preserve">Follow-up Sent</t>
  </si>
  <si>
    <t xml:space="preserve">Rejected</t>
  </si>
  <si>
    <t xml:space="preserve">Next Action Date</t>
  </si>
  <si>
    <t xml:space="preserve">Days Since Applied</t>
  </si>
  <si>
    <t xml:space="preserve">Follow-up Due?</t>
  </si>
  <si>
    <t xml:space="preserve">Ghosted?</t>
  </si>
  <si>
    <t xml:space="preserve">Rejection Reason</t>
  </si>
  <si>
    <t xml:space="preserve">Dup Key</t>
  </si>
  <si>
    <t xml:space="preserve">Dup?</t>
  </si>
  <si>
    <t xml:space="preserve">2026-10-001</t>
  </si>
  <si>
    <t xml:space="preserve">Feature Solutions</t>
  </si>
  <si>
    <t xml:space="preserve">Bookkeeper – Part-Time (QuickBooks Online)</t>
  </si>
  <si>
    <t xml:space="preserve">Manchester, NH</t>
  </si>
  <si>
    <t xml:space="preserve">On-site</t>
  </si>
  <si>
    <t xml:space="preserve">Part-time</t>
  </si>
  <si>
    <t xml:space="preserve">$18–$23/hr</t>
  </si>
  <si>
    <t xml:space="preserve">Apply ↗</t>
  </si>
  <si>
    <t xml:space="preserve">Direct QBO bookkeeping match — your core daily tool</t>
  </si>
  <si>
    <t xml:space="preserve">Master</t>
  </si>
  <si>
    <t xml:space="preserve">2026-10-002</t>
  </si>
  <si>
    <t xml:space="preserve">Business Cents</t>
  </si>
  <si>
    <t xml:space="preserve">Senior Bookkeeper</t>
  </si>
  <si>
    <t xml:space="preserve">Full-time</t>
  </si>
  <si>
    <t xml:space="preserve">$25–$30/hr</t>
  </si>
  <si>
    <t xml:space="preserve">Full-charge bookkeeping for a local firm; multi-client like your current work</t>
  </si>
  <si>
    <t xml:space="preserve">2026-10-003</t>
  </si>
  <si>
    <t xml:space="preserve">3 Lions Logistics</t>
  </si>
  <si>
    <t xml:space="preserve">Bookkeeper/ Staff Accountant</t>
  </si>
  <si>
    <t xml:space="preserve">Salem, NH</t>
  </si>
  <si>
    <t xml:space="preserve">$65,000–$70,000</t>
  </si>
  <si>
    <t xml:space="preserve">Combined bookkeeping + staff accounting — fits your hybrid skill set</t>
  </si>
  <si>
    <t xml:space="preserve">2026-10-004</t>
  </si>
  <si>
    <t xml:space="preserve">Junior Accountant</t>
  </si>
  <si>
    <t xml:space="preserve">$58,380–$70,307</t>
  </si>
  <si>
    <t xml:space="preserve">Entry/junior accountant role — reconciliations and journal entries</t>
  </si>
  <si>
    <t xml:space="preserve">2026-10-005</t>
  </si>
  <si>
    <t xml:space="preserve">Scott Electronics, Inc.</t>
  </si>
  <si>
    <t xml:space="preserve">Staff Accountant</t>
  </si>
  <si>
    <t xml:space="preserve">$30–$35/hr</t>
  </si>
  <si>
    <t xml:space="preserve">Classic staff accountant duties matching your full-cycle experience</t>
  </si>
  <si>
    <t xml:space="preserve">2026-10-006</t>
  </si>
  <si>
    <t xml:space="preserve">Paul Davis Restoration</t>
  </si>
  <si>
    <t xml:space="preserve">Reconstruction Job Cost Accountant</t>
  </si>
  <si>
    <t xml:space="preserve">$50,000–$60,000</t>
  </si>
  <si>
    <t xml:space="preserve">Job-cost accounting; builds on your profitability/unit-economics work</t>
  </si>
  <si>
    <t xml:space="preserve">2026-10-007</t>
  </si>
  <si>
    <t xml:space="preserve">Goedecke Flooring &amp; Design</t>
  </si>
  <si>
    <t xml:space="preserve">Bookkeeper &amp; HR Administrator</t>
  </si>
  <si>
    <t xml:space="preserve">Bedford, NH</t>
  </si>
  <si>
    <t xml:space="preserve">$62,000–$75,000</t>
  </si>
  <si>
    <t xml:space="preserve">Full-charge bookkeeping for a small business — your sweet spot</t>
  </si>
  <si>
    <t xml:space="preserve">2026-10-008</t>
  </si>
  <si>
    <t xml:space="preserve">Generator Pro / Spa Guy</t>
  </si>
  <si>
    <t xml:space="preserve">Assistant Bookkeeper / Office Assistant</t>
  </si>
  <si>
    <t xml:space="preserve">Nashua, NH</t>
  </si>
  <si>
    <t xml:space="preserve">$20–$29/hr</t>
  </si>
  <si>
    <t xml:space="preserve">Bookkeeping support role, easy entry near Manchester</t>
  </si>
  <si>
    <t xml:space="preserve">2026-10-009</t>
  </si>
  <si>
    <t xml:space="preserve">Stephens-Marquis Associates</t>
  </si>
  <si>
    <t xml:space="preserve">Accounting Administrator</t>
  </si>
  <si>
    <t xml:space="preserve">Merrimack, NH</t>
  </si>
  <si>
    <t xml:space="preserve">$58,000–$66,000</t>
  </si>
  <si>
    <t xml:space="preserve">Full accounting admin for a small firm; QBO/Excel focused</t>
  </si>
  <si>
    <t xml:space="preserve">2026-10-010</t>
  </si>
  <si>
    <t xml:space="preserve">JLS Mailing Services</t>
  </si>
  <si>
    <t xml:space="preserve">Bookkeeper/Accounts Administrator</t>
  </si>
  <si>
    <t xml:space="preserve">Concord, NH</t>
  </si>
  <si>
    <t xml:space="preserve">$54,930–$87,662</t>
  </si>
  <si>
    <t xml:space="preserve">Full-charge bookkeeping with strong pay range</t>
  </si>
  <si>
    <t xml:space="preserve">2026-10-011</t>
  </si>
  <si>
    <t xml:space="preserve">Ford of Londonderry</t>
  </si>
  <si>
    <t xml:space="preserve">Accounting/Administration</t>
  </si>
  <si>
    <t xml:space="preserve">Londonderry, NH</t>
  </si>
  <si>
    <t xml:space="preserve">N/A</t>
  </si>
  <si>
    <t xml:space="preserve">Dealership accounting office — transaction-heavy reconciliation work</t>
  </si>
  <si>
    <t xml:space="preserve">2026-10-012</t>
  </si>
  <si>
    <t xml:space="preserve">Pine Haven Boys Center</t>
  </si>
  <si>
    <t xml:space="preserve">Financial Operations Specialist</t>
  </si>
  <si>
    <t xml:space="preserve">Suncook, NH</t>
  </si>
  <si>
    <t xml:space="preserve">$60,000–$70,000</t>
  </si>
  <si>
    <t xml:space="preserve">Finance operations + reporting; mirrors your fractional-CFO duties</t>
  </si>
  <si>
    <t xml:space="preserve">2026-10-013</t>
  </si>
  <si>
    <t xml:space="preserve">Spectrum Marketing Companies</t>
  </si>
  <si>
    <t xml:space="preserve">Accounting Associate</t>
  </si>
  <si>
    <t xml:space="preserve">$22–$25/hr</t>
  </si>
  <si>
    <t xml:space="preserve">Local Manchester accounting support role — short commute</t>
  </si>
  <si>
    <t xml:space="preserve">2026-10-014</t>
  </si>
  <si>
    <t xml:space="preserve">Buchanan Technologies</t>
  </si>
  <si>
    <t xml:space="preserve">Sr. Financial Planning &amp; Analysis Analyst</t>
  </si>
  <si>
    <t xml:space="preserve">$75,000–$90,000</t>
  </si>
  <si>
    <t xml:space="preserve">FP&amp;A role matching your KPI dashboards, budgeting &amp; forecasting</t>
  </si>
  <si>
    <t xml:space="preserve">2026-10-015</t>
  </si>
  <si>
    <t xml:space="preserve">Breathe New Hampshire</t>
  </si>
  <si>
    <t xml:space="preserve">Accounting Manager</t>
  </si>
  <si>
    <t xml:space="preserve">From $40/hr</t>
  </si>
  <si>
    <t xml:space="preserve">Part-time accounting leadership; fits fractional/multi-client style</t>
  </si>
  <si>
    <t xml:space="preserve">2026-10-016</t>
  </si>
  <si>
    <t xml:space="preserve">Town of Sanbornton, NH</t>
  </si>
  <si>
    <t xml:space="preserve">Finance Coordinator</t>
  </si>
  <si>
    <t xml:space="preserve">Sanbornton, NH</t>
  </si>
  <si>
    <t xml:space="preserve">$29.05–$36.26/hr</t>
  </si>
  <si>
    <t xml:space="preserve">Municipal finance; stable role using reconciliations &amp; reporting</t>
  </si>
  <si>
    <t xml:space="preserve">2026-10-017</t>
  </si>
  <si>
    <t xml:space="preserve">New Hampshire Housing</t>
  </si>
  <si>
    <t xml:space="preserve">Senior Accountant, Section 8 &amp; Federal Reporting</t>
  </si>
  <si>
    <t xml:space="preserve">$64,000–$78,000</t>
  </si>
  <si>
    <t xml:space="preserve">Senior accountant role; reporting-heavy, solid pay</t>
  </si>
  <si>
    <t xml:space="preserve">2026-10-018</t>
  </si>
  <si>
    <t xml:space="preserve">Associa</t>
  </si>
  <si>
    <t xml:space="preserve">Senior Accountant</t>
  </si>
  <si>
    <t xml:space="preserve">$80,000–$90,000</t>
  </si>
  <si>
    <t xml:space="preserve">Senior accountant with month-end close — aim-higher option</t>
  </si>
  <si>
    <t xml:space="preserve">2026-10-019</t>
  </si>
  <si>
    <t xml:space="preserve">Client Accounting Specialist / Coordinator</t>
  </si>
  <si>
    <t xml:space="preserve">$20–$25/hr</t>
  </si>
  <si>
    <t xml:space="preserve">Client-facing bookkeeping, like your recurring-client model</t>
  </si>
  <si>
    <t xml:space="preserve">2026-10-020</t>
  </si>
  <si>
    <t xml:space="preserve">Wakefield Thermal Solutions</t>
  </si>
  <si>
    <t xml:space="preserve">Accounts Payable Coordinator</t>
  </si>
  <si>
    <t xml:space="preserve">AP/transaction processing — core bookkeeping function</t>
  </si>
  <si>
    <t xml:space="preserve">2026-10-021</t>
  </si>
  <si>
    <t xml:space="preserve">Payroll Processor</t>
  </si>
  <si>
    <t xml:space="preserve">$25.63–$31.00/hr</t>
  </si>
  <si>
    <t xml:space="preserve">Payroll at a Manchester bookkeeping firm; you list payroll review</t>
  </si>
  <si>
    <t xml:space="preserve">2026-10-022</t>
  </si>
  <si>
    <t xml:space="preserve">Bronze Craft Corp</t>
  </si>
  <si>
    <t xml:space="preserve">Payroll and Accounts Receivable Specialist</t>
  </si>
  <si>
    <t xml:space="preserve">From $56,000</t>
  </si>
  <si>
    <t xml:space="preserve">AR + payroll role within commuting distance</t>
  </si>
  <si>
    <t xml:space="preserve">2026-10-023</t>
  </si>
  <si>
    <t xml:space="preserve">Community Crossroads</t>
  </si>
  <si>
    <t xml:space="preserve">Accounting Coordinator</t>
  </si>
  <si>
    <t xml:space="preserve">Atkinson, NH</t>
  </si>
  <si>
    <t xml:space="preserve">$44,540–$57,356</t>
  </si>
  <si>
    <t xml:space="preserve">Nonprofit accounting coordination; reconciliations &amp; reporting</t>
  </si>
  <si>
    <t xml:space="preserve">2026-10-024</t>
  </si>
  <si>
    <t xml:space="preserve">KBW Financial Staffing</t>
  </si>
  <si>
    <t xml:space="preserve">Accountant II</t>
  </si>
  <si>
    <t xml:space="preserve">Portsmouth, NH</t>
  </si>
  <si>
    <t xml:space="preserve">Permanent</t>
  </si>
  <si>
    <t xml:space="preserve">$70,000–$85,000</t>
  </si>
  <si>
    <t xml:space="preserve">Staffing firm placement for an experienced accountant — good pay</t>
  </si>
  <si>
    <t xml:space="preserve">2026-10-025</t>
  </si>
  <si>
    <t xml:space="preserve">Service Credit Union</t>
  </si>
  <si>
    <t xml:space="preserve">Financial Accountant</t>
  </si>
  <si>
    <t xml:space="preserve">$94,959–$118,700</t>
  </si>
  <si>
    <t xml:space="preserve">Corporate accountant, strong salary; reach role with upside</t>
  </si>
  <si>
    <t xml:space="preserve">2026-10-026</t>
  </si>
  <si>
    <t xml:space="preserve">Tax Expert (CPA or EA) – Base + Commission</t>
  </si>
  <si>
    <t xml:space="preserve">$15–$40/hr</t>
  </si>
  <si>
    <t xml:space="preserve">Leverages your 200+ returns of tax-prep experience</t>
  </si>
  <si>
    <t xml:space="preserve">2026-10-027</t>
  </si>
  <si>
    <t xml:space="preserve">Intuit</t>
  </si>
  <si>
    <t xml:space="preserve">Tax Expert - Local</t>
  </si>
  <si>
    <t xml:space="preserve">$27–$41/hr</t>
  </si>
  <si>
    <t xml:space="preserve">Seasonal/flexible tax prep — matches your 1040/Sch C/S-corp work</t>
  </si>
  <si>
    <t xml:space="preserve">2026-10-028</t>
  </si>
  <si>
    <t xml:space="preserve">Pulsar Alarm Systems</t>
  </si>
  <si>
    <t xml:space="preserve">Certified Public Accountant</t>
  </si>
  <si>
    <t xml:space="preserve">Plaistow, NH</t>
  </si>
  <si>
    <t xml:space="preserve">$100,000–$150,000</t>
  </si>
  <si>
    <t xml:space="preserve">Reach role for your CPA pathway (125/150 credits); top pay</t>
  </si>
  <si>
    <t xml:space="preserve">2026-10-029</t>
  </si>
  <si>
    <t xml:space="preserve">BAE Systems</t>
  </si>
  <si>
    <t xml:space="preserve">Senior Program Control Analyst, EAS Finance (Hybrid)</t>
  </si>
  <si>
    <t xml:space="preserve">Hudson, NH</t>
  </si>
  <si>
    <t xml:space="preserve">Hybrid</t>
  </si>
  <si>
    <t xml:space="preserve">$82,779–$140,723</t>
  </si>
  <si>
    <t xml:space="preserve">Program finance/analysis; hybrid, high ceiling</t>
  </si>
  <si>
    <t xml:space="preserve">2026-10-030</t>
  </si>
  <si>
    <t xml:space="preserve">Your Part-Time Controller, LLC</t>
  </si>
  <si>
    <t xml:space="preserve">Accountant (Fractional/Outsourced)</t>
  </si>
  <si>
    <t xml:space="preserve">Boston, MA</t>
  </si>
  <si>
    <t xml:space="preserve">Outsourced accounting — direct parallel to your fractional-CFO role</t>
  </si>
  <si>
    <t xml:space="preserve">2026-10-031</t>
  </si>
  <si>
    <t xml:space="preserve">Roessel Joy</t>
  </si>
  <si>
    <t xml:space="preserve">Staff Accountant / Bookkeeper</t>
  </si>
  <si>
    <t xml:space="preserve">Danvers, MA</t>
  </si>
  <si>
    <t xml:space="preserve">$30–$34/hr</t>
  </si>
  <si>
    <t xml:space="preserve">Hybrid staff accountant + bookkeeper; exactly your profile</t>
  </si>
  <si>
    <t xml:space="preserve">2026-10-032</t>
  </si>
  <si>
    <t xml:space="preserve">LVR Corporation</t>
  </si>
  <si>
    <t xml:space="preserve">Office Administrator / Bookkeeper</t>
  </si>
  <si>
    <t xml:space="preserve">Peabody, MA</t>
  </si>
  <si>
    <t xml:space="preserve">$25–$35/hr</t>
  </si>
  <si>
    <t xml:space="preserve">Small-business full-charge bookkeeping</t>
  </si>
  <si>
    <t xml:space="preserve">2026-10-033</t>
  </si>
  <si>
    <t xml:space="preserve">Drewnick Bookkeeping LLC</t>
  </si>
  <si>
    <t xml:space="preserve">Bookkeeper</t>
  </si>
  <si>
    <t xml:space="preserve">Tewksbury, MA</t>
  </si>
  <si>
    <t xml:space="preserve">$22–$32/hr</t>
  </si>
  <si>
    <t xml:space="preserve">Bookkeeping firm — multi-client QBO work like yours</t>
  </si>
  <si>
    <t xml:space="preserve">2026-10-034</t>
  </si>
  <si>
    <t xml:space="preserve">Kelly Auto Group</t>
  </si>
  <si>
    <t xml:space="preserve">Auto Dealership Accountant / Bookkeeper</t>
  </si>
  <si>
    <t xml:space="preserve">Lynnfield, MA</t>
  </si>
  <si>
    <t xml:space="preserve">$23–$28/hr</t>
  </si>
  <si>
    <t xml:space="preserve">High-volume transaction reconciliation; fresh posting</t>
  </si>
  <si>
    <t xml:space="preserve">2026-10-035</t>
  </si>
  <si>
    <t xml:space="preserve">Lowell Catholic High School</t>
  </si>
  <si>
    <t xml:space="preserve">Finance Associate</t>
  </si>
  <si>
    <t xml:space="preserve">Lowell, MA</t>
  </si>
  <si>
    <t xml:space="preserve">$24–$26/hr</t>
  </si>
  <si>
    <t xml:space="preserve">Bookkeeping/finance support at a school</t>
  </si>
  <si>
    <t xml:space="preserve">2026-10-036</t>
  </si>
  <si>
    <t xml:space="preserve">Dumpsters R Us</t>
  </si>
  <si>
    <t xml:space="preserve">Accounting Specialist</t>
  </si>
  <si>
    <t xml:space="preserve">Andover, MA</t>
  </si>
  <si>
    <t xml:space="preserve">$55,000–$75,000</t>
  </si>
  <si>
    <t xml:space="preserve">Full-cycle accounting specialist with good range</t>
  </si>
  <si>
    <t xml:space="preserve">2026-10-037</t>
  </si>
  <si>
    <t xml:space="preserve">Woodfield Commons</t>
  </si>
  <si>
    <t xml:space="preserve">Property Accountant</t>
  </si>
  <si>
    <t xml:space="preserve">$65,000–$75,000</t>
  </si>
  <si>
    <t xml:space="preserve">Full-cycle property accounting; month-end close focus</t>
  </si>
  <si>
    <t xml:space="preserve">2026-10-038</t>
  </si>
  <si>
    <t xml:space="preserve">Straumann Group</t>
  </si>
  <si>
    <t xml:space="preserve">Cost Accountant (Manufacturing)</t>
  </si>
  <si>
    <t xml:space="preserve">$77,000–$94,000</t>
  </si>
  <si>
    <t xml:space="preserve">Cost/unit-economics analysis — maps to your SKU-level work</t>
  </si>
  <si>
    <t xml:space="preserve">2026-10-039</t>
  </si>
  <si>
    <t xml:space="preserve">Donovan, Sullivan &amp; Ryan</t>
  </si>
  <si>
    <t xml:space="preserve">Tax Accountant – Entry Level</t>
  </si>
  <si>
    <t xml:space="preserve">Westwood, MA</t>
  </si>
  <si>
    <t xml:space="preserve">From $70,000</t>
  </si>
  <si>
    <t xml:space="preserve">Entry CPA-firm tax role; uses your tax-prep background</t>
  </si>
  <si>
    <t xml:space="preserve">2026-10-040</t>
  </si>
  <si>
    <t xml:space="preserve">David Miller CPA LLC</t>
  </si>
  <si>
    <t xml:space="preserve">Tax Accountant</t>
  </si>
  <si>
    <t xml:space="preserve">Cambridge, MA</t>
  </si>
  <si>
    <t xml:space="preserve">CPA-firm tax accountant; strong pay for your tax experience</t>
  </si>
  <si>
    <t xml:space="preserve">2026-10-041</t>
  </si>
  <si>
    <t xml:space="preserve">Robert Reiser &amp; Company</t>
  </si>
  <si>
    <t xml:space="preserve">Canton, MA</t>
  </si>
  <si>
    <t xml:space="preserve">$85,000–$120,000</t>
  </si>
  <si>
    <t xml:space="preserve">Senior accountant, high pay — reach role with full-cycle duties</t>
  </si>
  <si>
    <t xml:space="preserve">2026-10-042</t>
  </si>
  <si>
    <t xml:space="preserve">New Balance</t>
  </si>
  <si>
    <t xml:space="preserve">Retail Financial Analyst</t>
  </si>
  <si>
    <t xml:space="preserve">Lawrence, MA</t>
  </si>
  <si>
    <t xml:space="preserve">$70,600–$110,400</t>
  </si>
  <si>
    <t xml:space="preserve">Financial analysis at a major brand; your e-commerce/retail angle</t>
  </si>
  <si>
    <t xml:space="preserve">2026-10-043</t>
  </si>
  <si>
    <t xml:space="preserve">Mycronic</t>
  </si>
  <si>
    <t xml:space="preserve">Senior Strategic Financial Analyst</t>
  </si>
  <si>
    <t xml:space="preserve">$105,000–$125,000</t>
  </si>
  <si>
    <t xml:space="preserve">Strategic FP&amp;A; variance analysis &amp; forecasting — high ceiling</t>
  </si>
  <si>
    <t xml:space="preserve">2026-10-044</t>
  </si>
  <si>
    <t xml:space="preserve">Merrimack Health</t>
  </si>
  <si>
    <t xml:space="preserve">Senior Reimbursement Analyst</t>
  </si>
  <si>
    <t xml:space="preserve">$56,615–$76,613</t>
  </si>
  <si>
    <t xml:space="preserve">Healthcare financial analysis; reconciliation-heavy</t>
  </si>
  <si>
    <t xml:space="preserve">2026-10-045</t>
  </si>
  <si>
    <t xml:space="preserve">Signature Healthcare</t>
  </si>
  <si>
    <t xml:space="preserve">Sr. Financial Analyst</t>
  </si>
  <si>
    <t xml:space="preserve">West Bridgewater, MA</t>
  </si>
  <si>
    <t xml:space="preserve">$65,000–$90,000</t>
  </si>
  <si>
    <t xml:space="preserve">FP&amp;A / cash-flow analysis matching your reporting strengths</t>
  </si>
  <si>
    <t xml:space="preserve">2026-10-046</t>
  </si>
  <si>
    <t xml:space="preserve">Vertex Pharmaceuticals</t>
  </si>
  <si>
    <t xml:space="preserve">Financial Planning &amp; Analysis Senior Analyst</t>
  </si>
  <si>
    <t xml:space="preserve">$89,600–$134,400</t>
  </si>
  <si>
    <t xml:space="preserve">FP&amp;A at a large employer; reach role, excellent pay</t>
  </si>
  <si>
    <t xml:space="preserve">2026-10-047</t>
  </si>
  <si>
    <t xml:space="preserve">Worcester Envelope Company</t>
  </si>
  <si>
    <t xml:space="preserve">Staff Accountant – On Site</t>
  </si>
  <si>
    <t xml:space="preserve">Auburn, MA</t>
  </si>
  <si>
    <t xml:space="preserve">$58,000–$64,000</t>
  </si>
  <si>
    <t xml:space="preserve">Manufacturing staff accountant; full-cycle duties</t>
  </si>
  <si>
    <t xml:space="preserve">2026-10-048</t>
  </si>
  <si>
    <t xml:space="preserve">EPIC Enterprises, Inc.</t>
  </si>
  <si>
    <t xml:space="preserve">Ayer, MA</t>
  </si>
  <si>
    <t xml:space="preserve">Temporary</t>
  </si>
  <si>
    <t xml:space="preserve">$25–$28/hr</t>
  </si>
  <si>
    <t xml:space="preserve">Entry junior accountant; good foot-in-door role</t>
  </si>
  <si>
    <t xml:space="preserve">2026-10-049</t>
  </si>
  <si>
    <t xml:space="preserve">Bernardi Auto Group</t>
  </si>
  <si>
    <t xml:space="preserve">Automotive Accountant</t>
  </si>
  <si>
    <t xml:space="preserve">Natick, MA</t>
  </si>
  <si>
    <t xml:space="preserve">$75,000</t>
  </si>
  <si>
    <t xml:space="preserve">Dealership accountant; transaction reconciliation at scale</t>
  </si>
  <si>
    <t xml:space="preserve">2026-10-050</t>
  </si>
  <si>
    <t xml:space="preserve">Greenwood Industries</t>
  </si>
  <si>
    <t xml:space="preserve">Ashland, MA</t>
  </si>
  <si>
    <t xml:space="preserve">$83,200–$93,600</t>
  </si>
  <si>
    <t xml:space="preserve">Accounting specialist with strong pay; full-cycle work</t>
  </si>
  <si>
    <t xml:space="preserve">Fit</t>
  </si>
  <si>
    <t xml:space="preserve">Stopped At</t>
  </si>
  <si>
    <t xml:space="preserve">Next Action</t>
  </si>
  <si>
    <t xml:space="preserve">ACTIVITY LOG  —  every call, email, and follow-up. One action per row (keeps history even when a status changes).</t>
  </si>
  <si>
    <t xml:space="preserve">Date</t>
  </si>
  <si>
    <t xml:space="preserve">Company (auto)</t>
  </si>
  <si>
    <t xml:space="preserve">Action</t>
  </si>
  <si>
    <t xml:space="preserve">Notes</t>
  </si>
  <si>
    <t xml:space="preserve">Next Step</t>
  </si>
  <si>
    <t xml:space="preserve">Found / saved</t>
  </si>
  <si>
    <t xml:space="preserve">Sourced via Indeed; saved to tracker. Example row — overwrite or delete.</t>
  </si>
  <si>
    <t xml:space="preserve">Apply</t>
  </si>
  <si>
    <t xml:space="preserve">CONTACTS  —  people you reached out to (recruiters, hiring managers, referrals).</t>
  </si>
  <si>
    <t xml:space="preserve">Name</t>
  </si>
  <si>
    <t xml:space="preserve">Role / Title</t>
  </si>
  <si>
    <t xml:space="preserve">Email / Phone</t>
  </si>
  <si>
    <t xml:space="preserve">Method</t>
  </si>
  <si>
    <t xml:space="preserve">Date Contacted</t>
  </si>
  <si>
    <t xml:space="preserve">— example —</t>
  </si>
  <si>
    <t xml:space="preserve">Hiring Manager</t>
  </si>
  <si>
    <t xml:space="preserve">No response yet</t>
  </si>
  <si>
    <t xml:space="preserve">Follow up</t>
  </si>
  <si>
    <t xml:space="preserve">Example row — overwrite or delete.</t>
  </si>
  <si>
    <t xml:space="preserve">SWOT  ANALYSIS  —  David St. Julus</t>
  </si>
  <si>
    <t xml:space="preserve">Grounded in the résumé (Strengths/Weaknesses) and the Oct 2026 NH/MA job sheet (Opportunities/Threats). Each point cites its evidence — no invented metrics.</t>
  </si>
  <si>
    <t xml:space="preserve">STRENGTHS</t>
  </si>
  <si>
    <t xml:space="preserve">WEAKNESSES</t>
  </si>
  <si>
    <t xml:space="preserve">Point</t>
  </si>
  <si>
    <t xml:space="preserve">Evidence</t>
  </si>
  <si>
    <t xml:space="preserve">•  Full-cycle bookkeeping &amp; month-end close across multiple concurrent clients.</t>
  </si>
  <si>
    <t xml:space="preserve">Résumé — System Built Financials: “full-cycle bookkeeping and month-end close for four recurring small-business clients.”</t>
  </si>
  <si>
    <t xml:space="preserve">•  CPA not yet licensed — 125 of 150 credits; exam/coursework still ahead.</t>
  </si>
  <si>
    <t xml:space="preserve">Résumé — Education: “CPA pathway: 125 of 150 required credits completed; additional coursework planned for 2027.”</t>
  </si>
  <si>
    <t xml:space="preserve">•  Proven at cleaning up and standardizing disorganized books into tax-ready records.</t>
  </si>
  <si>
    <t xml:space="preserve">Résumé — System Built Financials: “Clean up and standardize disorganized financial records… tax-preparation readiness.”</t>
  </si>
  <si>
    <t xml:space="preserve">•  Experience concentrated in small-business / self-employment, not large-corporate teams.</t>
  </si>
  <si>
    <t xml:space="preserve">Résumé — Experience: founder/fractional roles with small-business clients; no large-team corporate role listed.</t>
  </si>
  <si>
    <t xml:space="preserve">•  FP&amp;A depth: KPI dashboards, variance, budgeting &amp; cash-flow analysis.</t>
  </si>
  <si>
    <t xml:space="preserve">Résumé — Summary &amp; Skills: “recurring KPI dashboards”; “P&amp;L analysis… variance analysis, budgeting and forecasting support.”</t>
  </si>
  <si>
    <t xml:space="preserve">•  Limited tenure in formal employed accounting titles (mostly founder/fractional since 2022).</t>
  </si>
  <si>
    <t xml:space="preserve">Résumé — Experience dates: System Built (2026– ), Move-U fractional (2025–26), Julus Essentials (2022–25).</t>
  </si>
  <si>
    <t xml:space="preserve">•  Demonstrated financial impact — surfaced ~$50K/yr in billing leakage.</t>
  </si>
  <si>
    <t xml:space="preserve">Résumé — Move-U Moving Services: “Identified approximately $50,000 in estimated annual billing leakage.”</t>
  </si>
  <si>
    <t xml:space="preserve">•  Secondary tools stated as “experience with,” not primary proficiency.</t>
  </si>
  <si>
    <t xml:space="preserve">Résumé — Skills: “experience with Sage and Power BI” vs. “Proficient in QuickBooks Online and Excel.”</t>
  </si>
  <si>
    <t xml:space="preserve">•  High-volume reconciliation experience at scale.</t>
  </si>
  <si>
    <t xml:space="preserve">Résumé — Julus Essentials “Reconciled 10,000+ transactions”; Move-U “100+ transactions and ~$60,000 in deposits each month.”</t>
  </si>
  <si>
    <t xml:space="preserve">•  No public-accounting / audit-firm background on the résumé.</t>
  </si>
  <si>
    <t xml:space="preserve">Résumé — Experience: no CPA-firm or audit employer listed (relevant for CPA-firm postings).</t>
  </si>
  <si>
    <t xml:space="preserve">•  Tax-prep depth: 200+ returns (1040, Sch C, S-corp) over four seasons.</t>
  </si>
  <si>
    <t xml:space="preserve">Résumé — Jean Tax Services: “Prepared 50+… returns per season (200+ across four seasons).”</t>
  </si>
  <si>
    <t xml:space="preserve">•  Tech/automation edge: QBO, advanced Excel (PivotTables, Power Query, macros), custom GPTs.</t>
  </si>
  <si>
    <t xml:space="preserve">Résumé — Skills &amp; System Built: “Excel (PivotTables, XLOOKUP, Power Query, macros)”; “Built custom GPTs and AI-assisted workflows.”</t>
  </si>
  <si>
    <t xml:space="preserve">•  Owner-operator business acumen — ran a $465K peak-revenue multichannel business.</t>
  </si>
  <si>
    <t xml:space="preserve">Résumé — Julus Essentials: “$465,000 in peak annual revenue across Amazon, Walmart, eBay, StockX, and GOAT.”</t>
  </si>
  <si>
    <t xml:space="preserve">•  Bilingual: Haitian Creole (professional), plus French.</t>
  </si>
  <si>
    <t xml:space="preserve">Résumé — Skills: “Haitian Creole (professional working proficiency), French.”</t>
  </si>
  <si>
    <t xml:space="preserve">OPPORTUNITIES</t>
  </si>
  <si>
    <t xml:space="preserve">THREATS</t>
  </si>
  <si>
    <t xml:space="preserve">•  Strong local demand for bookkeeper/staff-accountant profiles that match directly.</t>
  </si>
  <si>
    <t xml:space="preserve">Job sheet: 50 NH/MA roles sourced Oct 23, 2026; many rated “High” fit (e.g., rows 1–3, 7, 9).</t>
  </si>
  <si>
    <t xml:space="preserve">•  CPA-required or senior postings may screen the application out until the license is complete.</t>
  </si>
  <si>
    <t xml:space="preserve">Job sheet: CPA / Senior roles (rows 24, 25, 28, 41) vs. résumé CPA pathway not yet finished.</t>
  </si>
  <si>
    <t xml:space="preserve">•  Fractional / outsourced accounting roles map 1:1 to the fractional-CFO background.</t>
  </si>
  <si>
    <t xml:space="preserve">Job sheet row 30 — Your Part-Time Controller, LLC, “Accountant (Fractional/Outsourced),” High fit.</t>
  </si>
  <si>
    <t xml:space="preserve">•  Many matching roles are hourly / part-time and may fall below salary targets.</t>
  </si>
  <si>
    <t xml:space="preserve">Job sheet: numerous $18–$35/hr roles (rows 1, 5, 8, 13, 19, 31–33).</t>
  </si>
  <si>
    <t xml:space="preserve">•  FP&amp;A analyst openings leverage the KPI-dashboard &amp; forecasting strength.</t>
  </si>
  <si>
    <t xml:space="preserve">Job sheet rows 14 (Buchanan Technologies, Sr. FP&amp;A) and 42 (New Balance, Retail Financial Analyst).</t>
  </si>
  <si>
    <t xml:space="preserve">•  Competition from candidates with full CPA or public-accounting pedigree.</t>
  </si>
  <si>
    <t xml:space="preserve">General market inference; résumé lists no audit-firm or Big-4 background.</t>
  </si>
  <si>
    <t xml:space="preserve">•  Completing the remaining 25 CPA credits unlocks higher-pay, CPA-required roles.</t>
  </si>
  <si>
    <t xml:space="preserve">Job sheet row 28 — Pulsar Alarm Systems, CPA, $100K–$150K; vs. résumé CPA pathway in progress.</t>
  </si>
  <si>
    <t xml:space="preserve">•  Commute / location trade-off: higher MA pay vs. NH proximity to Manchester.</t>
  </si>
  <si>
    <t xml:space="preserve">Job sheet: Boston/Andover/Lawrence roles vs. résumé location “Manchester, NH.”</t>
  </si>
  <si>
    <t xml:space="preserve">•  AI/automation skillset is a differentiator in a traditional accounting market.</t>
  </si>
  <si>
    <t xml:space="preserve">Résumé — AI &amp; Automation (custom GPTs, Power Query) vs. mostly conventional postings in the job sheet.</t>
  </si>
  <si>
    <t xml:space="preserve">•  A hiring slowdown can lengthen time-to-offer and raise ghosting risk.</t>
  </si>
  <si>
    <t xml:space="preserve">General market inference; tracker’s 30-day “Ghosted” flag is built to monitor this.</t>
  </si>
  <si>
    <t xml:space="preserve">•  Willingness to range across NH and Greater Boston widens the pay ceiling.</t>
  </si>
  <si>
    <t xml:space="preserve">Job sheet: MA roles (rows 41, 43, 46) reach $105K–$134K vs. many NH roles in the $45K–$80K band.</t>
  </si>
  <si>
    <t xml:space="preserve">LISTS  —  dropdown source values (hidden helper tab). Edit here to change dropdown options.</t>
  </si>
  <si>
    <t xml:space="preserve">Industries</t>
  </si>
  <si>
    <t xml:space="preserve">Stages</t>
  </si>
  <si>
    <t xml:space="preserve">WorkModes</t>
  </si>
  <si>
    <t xml:space="preserve">JobTypes</t>
  </si>
  <si>
    <t xml:space="preserve">Sources</t>
  </si>
  <si>
    <t xml:space="preserve">FitRatings</t>
  </si>
  <si>
    <t xml:space="preserve">YesNo</t>
  </si>
  <si>
    <t xml:space="preserve">ResumeVersions</t>
  </si>
  <si>
    <t xml:space="preserve">Actions</t>
  </si>
  <si>
    <t xml:space="preserve">Methods</t>
  </si>
  <si>
    <t xml:space="preserve">RejectionReasons</t>
  </si>
  <si>
    <t xml:space="preserve">NextSteps</t>
  </si>
  <si>
    <t xml:space="preserve">Yes</t>
  </si>
  <si>
    <t xml:space="preserve">Position filled</t>
  </si>
  <si>
    <t xml:space="preserve">No</t>
  </si>
  <si>
    <t xml:space="preserve">Bookkeeping-focused</t>
  </si>
  <si>
    <t xml:space="preserve">Auto-acknowledged</t>
  </si>
  <si>
    <t xml:space="preserve">Email</t>
  </si>
  <si>
    <t xml:space="preserve">Not qualified / experience</t>
  </si>
  <si>
    <t xml:space="preserve">Tailor resume</t>
  </si>
  <si>
    <t xml:space="preserve">Remote</t>
  </si>
  <si>
    <t xml:space="preserve">Contract</t>
  </si>
  <si>
    <t xml:space="preserve">Resume tailored</t>
  </si>
  <si>
    <t xml:space="preserve">Replied</t>
  </si>
  <si>
    <t xml:space="preserve">Phone</t>
  </si>
  <si>
    <t xml:space="preserve">CPA required</t>
  </si>
  <si>
    <t xml:space="preserve">Not specified</t>
  </si>
  <si>
    <t xml:space="preserve">FP&amp;A / Analyst</t>
  </si>
  <si>
    <t xml:space="preserve">Called</t>
  </si>
  <si>
    <t xml:space="preserve">Phone screen</t>
  </si>
  <si>
    <t xml:space="preserve">In-person</t>
  </si>
  <si>
    <t xml:space="preserve">Pay mismatch</t>
  </si>
  <si>
    <t xml:space="preserve">Call</t>
  </si>
  <si>
    <t xml:space="preserve">Tax-focused</t>
  </si>
  <si>
    <t xml:space="preserve">Emailed</t>
  </si>
  <si>
    <t xml:space="preserve">Location / commute</t>
  </si>
  <si>
    <t xml:space="preserve">Send thank-you</t>
  </si>
  <si>
    <t xml:space="preserve">Per Diem</t>
  </si>
  <si>
    <t xml:space="preserve">Follow-up sent</t>
  </si>
  <si>
    <t xml:space="preserve">Application portal</t>
  </si>
  <si>
    <t xml:space="preserve">Overqualified</t>
  </si>
  <si>
    <t xml:space="preserve">Schedule interview</t>
  </si>
  <si>
    <t xml:space="preserve">Contacted employee</t>
  </si>
  <si>
    <t xml:space="preserve">No response (ghosted)</t>
  </si>
  <si>
    <t xml:space="preserve">Prepare for interview</t>
  </si>
  <si>
    <t xml:space="preserve">Ghosted</t>
  </si>
  <si>
    <t xml:space="preserve">Response received</t>
  </si>
  <si>
    <t xml:space="preserve">Withdrew</t>
  </si>
  <si>
    <t xml:space="preserve">Await response</t>
  </si>
  <si>
    <t xml:space="preserve">Declined</t>
  </si>
  <si>
    <t xml:space="preserve">Interview scheduled</t>
  </si>
  <si>
    <t xml:space="preserve">Send references</t>
  </si>
  <si>
    <t xml:space="preserve">Interview completed</t>
  </si>
  <si>
    <t xml:space="preserve">Negotiate</t>
  </si>
  <si>
    <t xml:space="preserve">Thank-you sent</t>
  </si>
  <si>
    <t xml:space="preserve">Close out</t>
  </si>
  <si>
    <t xml:space="preserve">Offer received</t>
  </si>
  <si>
    <t xml:space="preserve">Negotiation</t>
  </si>
  <si>
    <t xml:space="preserve">Accepted</t>
  </si>
  <si>
    <t xml:space="preserve">Note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</si>
</sst>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mmm\ d"/>
    <numFmt numFmtId="167" formatCode="General"/>
    <numFmt numFmtId="168" formatCode="0.0%"/>
    <numFmt numFmtId="169" formatCode="0.0"/>
    <numFmt numFmtId="170" formatCode="mm/dd/yyyy"/>
    <numFmt numFmtId="171" formatCode="\$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BF8F00"/>
      <name val="Arial"/>
      <family val="0"/>
      <charset val="1"/>
    </font>
    <font>
      <b val="true"/>
      <sz val="18"/>
      <color rgb="FF808080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9"/>
      <color rgb="FF2E75B6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202020"/>
      <name val="Arial"/>
      <family val="0"/>
      <charset val="1"/>
    </font>
    <font>
      <sz val="8"/>
      <color rgb="FF40404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DEBF7"/>
        <bgColor rgb="FFE8F0FA"/>
      </patternFill>
    </fill>
    <fill>
      <patternFill patternType="solid">
        <fgColor rgb="FFFFF2CC"/>
        <bgColor rgb="FFFCE4E4"/>
      </patternFill>
    </fill>
    <fill>
      <patternFill patternType="solid">
        <fgColor rgb="FF2E75B6"/>
        <bgColor rgb="FF4A7EBB"/>
      </patternFill>
    </fill>
    <fill>
      <patternFill patternType="solid">
        <fgColor rgb="FF2E8B8B"/>
        <bgColor rgb="FF2E75B6"/>
      </patternFill>
    </fill>
    <fill>
      <patternFill patternType="solid">
        <fgColor rgb="FF548235"/>
        <bgColor rgb="FF1E7145"/>
      </patternFill>
    </fill>
    <fill>
      <patternFill patternType="solid">
        <fgColor rgb="FF7030A0"/>
        <bgColor rgb="FF333399"/>
      </patternFill>
    </fill>
    <fill>
      <patternFill patternType="solid">
        <fgColor rgb="FF1E7145"/>
        <bgColor rgb="FF008000"/>
      </patternFill>
    </fill>
    <fill>
      <patternFill patternType="solid">
        <fgColor rgb="FFC0392B"/>
        <bgColor rgb="FFC0504D"/>
      </patternFill>
    </fill>
    <fill>
      <patternFill patternType="solid">
        <fgColor rgb="FFF2F2F2"/>
        <bgColor rgb="FFE8F0FA"/>
      </patternFill>
    </fill>
    <fill>
      <patternFill patternType="solid">
        <fgColor rgb="FFBDD7EE"/>
        <bgColor rgb="FFB4C7E7"/>
      </patternFill>
    </fill>
    <fill>
      <patternFill patternType="solid">
        <fgColor rgb="FFBF8F00"/>
        <bgColor rgb="FFFF6600"/>
      </patternFill>
    </fill>
    <fill>
      <patternFill patternType="solid">
        <fgColor rgb="FFE2EFDA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E8F0FA"/>
        <bgColor rgb="FFF2F2F2"/>
      </patternFill>
    </fill>
    <fill>
      <patternFill patternType="solid">
        <fgColor rgb="FFFCE4E4"/>
        <bgColor rgb="FFFDE2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ont>
        <name val="Arial"/>
        <charset val="1"/>
        <family val="0"/>
        <color rgb="FF1F3864"/>
        <sz val="9"/>
      </font>
      <fill>
        <patternFill>
          <bgColor rgb="FFBDD7EE"/>
        </patternFill>
      </fill>
    </dxf>
    <dxf>
      <font>
        <name val="Arial"/>
        <charset val="1"/>
        <family val="0"/>
        <color rgb="FF1F3864"/>
        <sz val="9"/>
      </font>
      <fill>
        <patternFill>
          <bgColor rgb="FFB4C7E7"/>
        </patternFill>
      </fill>
    </dxf>
    <dxf>
      <font>
        <name val="Arial"/>
        <charset val="1"/>
        <family val="0"/>
        <color rgb="FF1F3864"/>
        <sz val="9"/>
      </font>
      <fill>
        <patternFill>
          <bgColor rgb="FFC6E0B4"/>
        </patternFill>
      </fill>
    </dxf>
    <dxf>
      <font>
        <name val="Arial"/>
        <charset val="1"/>
        <family val="0"/>
        <color rgb="FF1F3864"/>
        <sz val="9"/>
      </font>
      <fill>
        <patternFill>
          <bgColor rgb="FFE4DFEC"/>
        </patternFill>
      </fill>
    </dxf>
    <dxf>
      <font>
        <name val="Arial"/>
        <charset val="1"/>
        <family val="0"/>
        <color rgb="FF1F3864"/>
        <sz val="9"/>
      </font>
      <fill>
        <patternFill>
          <bgColor rgb="FFA9D08E"/>
        </patternFill>
      </fill>
    </dxf>
    <dxf>
      <font>
        <name val="Arial"/>
        <charset val="1"/>
        <family val="0"/>
        <color rgb="FFC0392B"/>
        <sz val="9"/>
      </font>
      <fill>
        <patternFill>
          <bgColor rgb="FFF8CBAD"/>
        </patternFill>
      </fill>
    </dxf>
    <dxf>
      <font>
        <name val="Arial"/>
        <charset val="1"/>
        <family val="0"/>
        <color rgb="FF1F3864"/>
        <sz val="9"/>
      </font>
      <fill>
        <patternFill>
          <bgColor rgb="FFD9D9D9"/>
        </patternFill>
      </fill>
    </dxf>
    <dxf>
      <font>
        <name val="Arial"/>
        <charset val="1"/>
        <family val="0"/>
        <color rgb="FF1F3864"/>
        <sz val="9"/>
      </font>
      <fill>
        <patternFill>
          <bgColor rgb="FFFFFFFF"/>
        </patternFill>
      </fill>
    </dxf>
    <dxf>
      <fill>
        <patternFill>
          <bgColor rgb="FFFDE2E1"/>
        </patternFill>
      </fill>
    </dxf>
    <dxf>
      <fill>
        <patternFill>
          <bgColor rgb="FFFFF2CC"/>
        </patternFill>
      </fill>
    </dxf>
    <dxf>
      <font>
        <name val="Arial"/>
        <charset val="1"/>
        <family val="0"/>
        <b val="1"/>
        <color rgb="FFC0392B"/>
        <sz val="9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BF8F00"/>
        <sz val="9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808080"/>
        <sz val="9"/>
      </font>
      <fill>
        <patternFill>
          <bgColor rgb="FFD9D9D9"/>
        </patternFill>
      </fill>
    </dxf>
    <dxf>
      <font>
        <name val="Arial"/>
        <charset val="1"/>
        <family val="0"/>
        <color rgb="FF808080"/>
        <sz val="9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1E7145"/>
      <rgbColor rgb="FFBFBFBF"/>
      <rgbColor rgb="FF808080"/>
      <rgbColor rgb="FFC6E0B4"/>
      <rgbColor rgb="FF7030A0"/>
      <rgbColor rgb="FFFFF2CC"/>
      <rgbColor rgb="FFDDEBF7"/>
      <rgbColor rgb="FF660066"/>
      <rgbColor rgb="FFE4DFEC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8F0FA"/>
      <rgbColor rgb="FFE2EFDA"/>
      <rgbColor rgb="FFF2F2F2"/>
      <rgbColor rgb="FFB4C7E7"/>
      <rgbColor rgb="FFFDE2E1"/>
      <rgbColor rgb="FFD9D9D9"/>
      <rgbColor rgb="FFF8CBAD"/>
      <rgbColor rgb="FF2E75B6"/>
      <rgbColor rgb="FF33CCCC"/>
      <rgbColor rgb="FFA9D08E"/>
      <rgbColor rgb="FFFCE4E4"/>
      <rgbColor rgb="FFBF8F00"/>
      <rgbColor rgb="FFFF6600"/>
      <rgbColor rgb="FF4A7EBB"/>
      <rgbColor rgb="FF878787"/>
      <rgbColor rgb="FF1F3864"/>
      <rgbColor rgb="FF2E8B8B"/>
      <rgbColor rgb="FF003300"/>
      <rgbColor rgb="FF202020"/>
      <rgbColor rgb="FFC0392B"/>
      <rgbColor rgb="FFC0504D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Pipeline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Dashboard!Q5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Dashboard!$P$6:$P$11</c:f>
              <c:strCache>
                <c:ptCount val="6"/>
                <c:pt idx="0">
                  <c:v>Total Fits</c:v>
                </c:pt>
                <c:pt idx="1">
                  <c:v>Applied</c:v>
                </c:pt>
                <c:pt idx="2">
                  <c:v>Contacted</c:v>
                </c:pt>
                <c:pt idx="3">
                  <c:v>Responded</c:v>
                </c:pt>
                <c:pt idx="4">
                  <c:v>Interview</c:v>
                </c:pt>
                <c:pt idx="5">
                  <c:v>Offer</c:v>
                </c:pt>
              </c:strCache>
            </c:strRef>
          </c:cat>
          <c:val>
            <c:numRef>
              <c:f>Dashboard!$Q$6:$Q$11</c:f>
              <c:numCache>
                <c:formatCode>0</c:formatCode>
                <c:ptCount val="6"/>
                <c:pt idx="0">
                  <c:v>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28674714"/>
        <c:axId val="10750514"/>
      </c:barChart>
      <c:catAx>
        <c:axId val="286747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50514"/>
        <c:crosses val="autoZero"/>
        <c:auto val="1"/>
        <c:lblAlgn val="ctr"/>
        <c:lblOffset val="100"/>
        <c:noMultiLvlLbl val="0"/>
      </c:catAx>
      <c:valAx>
        <c:axId val="107505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747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Jobs by Industry (Identified vs Applied)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Dashboard!Q13</c:f>
              <c:strCache>
                <c:ptCount val="1"/>
                <c:pt idx="0">
                  <c:v>Identified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Dashboard!$P$14:$P$23</c:f>
              <c:strCache>
                <c:ptCount val="10"/>
                <c:pt idx="0">
                  <c:v>Accounting (CPA firms)</c:v>
                </c:pt>
                <c:pt idx="1">
                  <c:v>Accounting (corporate / industry)</c:v>
                </c:pt>
                <c:pt idx="2">
                  <c:v>Government</c:v>
                </c:pt>
                <c:pt idx="3">
                  <c:v>Nonprofit</c:v>
                </c:pt>
                <c:pt idx="4">
                  <c:v>Finance</c:v>
                </c:pt>
                <c:pt idx="5">
                  <c:v>Business operations</c:v>
                </c:pt>
                <c:pt idx="6">
                  <c:v>Tech / AI</c:v>
                </c:pt>
                <c:pt idx="7">
                  <c:v>Sales</c:v>
                </c:pt>
                <c:pt idx="8">
                  <c:v>Sports business</c:v>
                </c:pt>
                <c:pt idx="9">
                  <c:v>Other</c:v>
                </c:pt>
              </c:strCache>
            </c:strRef>
          </c:cat>
          <c:val>
            <c:numRef>
              <c:f>Dashboard!$Q$14:$Q$23</c:f>
              <c:numCache>
                <c:formatCode>General</c:formatCode>
                <c:ptCount val="10"/>
                <c:pt idx="0">
                  <c:v>10</c:v>
                </c:pt>
                <c:pt idx="1">
                  <c:v>23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Dashboard!R13</c:f>
              <c:strCache>
                <c:ptCount val="1"/>
                <c:pt idx="0">
                  <c:v>Applied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Dashboard!$P$14:$P$23</c:f>
              <c:strCache>
                <c:ptCount val="10"/>
                <c:pt idx="0">
                  <c:v>Accounting (CPA firms)</c:v>
                </c:pt>
                <c:pt idx="1">
                  <c:v>Accounting (corporate / industry)</c:v>
                </c:pt>
                <c:pt idx="2">
                  <c:v>Government</c:v>
                </c:pt>
                <c:pt idx="3">
                  <c:v>Nonprofit</c:v>
                </c:pt>
                <c:pt idx="4">
                  <c:v>Finance</c:v>
                </c:pt>
                <c:pt idx="5">
                  <c:v>Business operations</c:v>
                </c:pt>
                <c:pt idx="6">
                  <c:v>Tech / AI</c:v>
                </c:pt>
                <c:pt idx="7">
                  <c:v>Sales</c:v>
                </c:pt>
                <c:pt idx="8">
                  <c:v>Sports business</c:v>
                </c:pt>
                <c:pt idx="9">
                  <c:v>Other</c:v>
                </c:pt>
              </c:strCache>
            </c:strRef>
          </c:cat>
          <c:val>
            <c:numRef>
              <c:f>Dashboard!$R$14:$R$23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18801675"/>
        <c:axId val="56911843"/>
      </c:barChart>
      <c:catAx>
        <c:axId val="188016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11843"/>
        <c:crosses val="autoZero"/>
        <c:auto val="1"/>
        <c:lblAlgn val="ctr"/>
        <c:lblOffset val="100"/>
        <c:noMultiLvlLbl val="0"/>
      </c:catAx>
      <c:valAx>
        <c:axId val="569118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016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Applications per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Dashboard!V5</c:f>
              <c:strCache>
                <c:ptCount val="1"/>
                <c:pt idx="0">
                  <c:v>Applications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Dashboard!$U$6:$U$21</c:f>
              <c:strCache>
                <c:ptCount val="16"/>
                <c:pt idx="0">
                  <c:v>Oct 5</c:v>
                </c:pt>
                <c:pt idx="1">
                  <c:v>Oct 12</c:v>
                </c:pt>
                <c:pt idx="2">
                  <c:v>Oct 19</c:v>
                </c:pt>
                <c:pt idx="3">
                  <c:v>Oct 26</c:v>
                </c:pt>
                <c:pt idx="4">
                  <c:v>Nov 2</c:v>
                </c:pt>
                <c:pt idx="5">
                  <c:v>Nov 9</c:v>
                </c:pt>
                <c:pt idx="6">
                  <c:v>Nov 16</c:v>
                </c:pt>
                <c:pt idx="7">
                  <c:v>Nov 23</c:v>
                </c:pt>
                <c:pt idx="8">
                  <c:v>Nov 30</c:v>
                </c:pt>
                <c:pt idx="9">
                  <c:v>Dec 7</c:v>
                </c:pt>
                <c:pt idx="10">
                  <c:v>Dec 14</c:v>
                </c:pt>
                <c:pt idx="11">
                  <c:v>Dec 21</c:v>
                </c:pt>
                <c:pt idx="12">
                  <c:v>Dec 28</c:v>
                </c:pt>
                <c:pt idx="13">
                  <c:v>Jan 4</c:v>
                </c:pt>
                <c:pt idx="14">
                  <c:v>Jan 11</c:v>
                </c:pt>
                <c:pt idx="15">
                  <c:v>Jan 18</c:v>
                </c:pt>
              </c:strCache>
            </c:strRef>
          </c:cat>
          <c:val>
            <c:numRef>
              <c:f>Dashboard!$V$6:$V$21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763706"/>
        <c:axId val="98752451"/>
      </c:lineChart>
      <c:catAx>
        <c:axId val="56763706"/>
        <c:scaling>
          <c:orientation val="minMax"/>
        </c:scaling>
        <c:delete val="0"/>
        <c:axPos val="b"/>
        <c:numFmt formatCode="mmm\ 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52451"/>
        <c:crosses val="autoZero"/>
        <c:auto val="1"/>
        <c:lblAlgn val="ctr"/>
        <c:lblOffset val="100"/>
        <c:noMultiLvlLbl val="0"/>
      </c:catAx>
      <c:valAx>
        <c:axId val="987524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637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Applied vs Responses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Dashboard!Q25</c:f>
              <c:strCache>
                <c:ptCount val="1"/>
                <c:pt idx="0">
                  <c:v>Applied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Dashboard!$P$26:$P$31</c:f>
              <c:strCache>
                <c:ptCount val="6"/>
                <c:pt idx="0">
                  <c:v>Indeed</c:v>
                </c:pt>
                <c:pt idx="1">
                  <c:v>ZipRecruiter</c:v>
                </c:pt>
                <c:pt idx="2">
                  <c:v>LinkedIn</c:v>
                </c:pt>
                <c:pt idx="3">
                  <c:v>Company site</c:v>
                </c:pt>
                <c:pt idx="4">
                  <c:v>Referral</c:v>
                </c:pt>
                <c:pt idx="5">
                  <c:v>Manual</c:v>
                </c:pt>
              </c:strCache>
            </c:strRef>
          </c:cat>
          <c:val>
            <c:numRef>
              <c:f>Dashboard!$Q$26:$Q$31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Dashboard!R25</c:f>
              <c:strCache>
                <c:ptCount val="1"/>
                <c:pt idx="0">
                  <c:v>Responses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Dashboard!$P$26:$P$31</c:f>
              <c:strCache>
                <c:ptCount val="6"/>
                <c:pt idx="0">
                  <c:v>Indeed</c:v>
                </c:pt>
                <c:pt idx="1">
                  <c:v>ZipRecruiter</c:v>
                </c:pt>
                <c:pt idx="2">
                  <c:v>LinkedIn</c:v>
                </c:pt>
                <c:pt idx="3">
                  <c:v>Company site</c:v>
                </c:pt>
                <c:pt idx="4">
                  <c:v>Referral</c:v>
                </c:pt>
                <c:pt idx="5">
                  <c:v>Manual</c:v>
                </c:pt>
              </c:strCache>
            </c:strRef>
          </c:cat>
          <c:val>
            <c:numRef>
              <c:f>Dashboard!$R$26:$R$31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55440154"/>
        <c:axId val="94490151"/>
      </c:barChart>
      <c:catAx>
        <c:axId val="554401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90151"/>
        <c:crosses val="autoZero"/>
        <c:auto val="1"/>
        <c:lblAlgn val="ctr"/>
        <c:lblOffset val="100"/>
        <c:noMultiLvlLbl val="0"/>
      </c:catAx>
      <c:valAx>
        <c:axId val="94490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401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190440</xdr:rowOff>
    </xdr:from>
    <xdr:to>
      <xdr:col>6</xdr:col>
      <xdr:colOff>81720</xdr:colOff>
      <xdr:row>28</xdr:row>
      <xdr:rowOff>57960</xdr:rowOff>
    </xdr:to>
    <xdr:graphicFrame>
      <xdr:nvGraphicFramePr>
        <xdr:cNvPr id="0" name="Chart 1"/>
        <xdr:cNvGraphicFramePr/>
      </xdr:nvGraphicFramePr>
      <xdr:xfrm>
        <a:off x="0" y="3200400"/>
        <a:ext cx="4859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14</xdr:row>
      <xdr:rowOff>190440</xdr:rowOff>
    </xdr:from>
    <xdr:to>
      <xdr:col>10</xdr:col>
      <xdr:colOff>622080</xdr:colOff>
      <xdr:row>28</xdr:row>
      <xdr:rowOff>57960</xdr:rowOff>
    </xdr:to>
    <xdr:graphicFrame>
      <xdr:nvGraphicFramePr>
        <xdr:cNvPr id="1" name="Chart 2"/>
        <xdr:cNvGraphicFramePr/>
      </xdr:nvGraphicFramePr>
      <xdr:xfrm>
        <a:off x="3185280" y="3200400"/>
        <a:ext cx="5399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97200</xdr:rowOff>
    </xdr:from>
    <xdr:to>
      <xdr:col>6</xdr:col>
      <xdr:colOff>81720</xdr:colOff>
      <xdr:row>44</xdr:row>
      <xdr:rowOff>57960</xdr:rowOff>
    </xdr:to>
    <xdr:graphicFrame>
      <xdr:nvGraphicFramePr>
        <xdr:cNvPr id="2" name="Chart 3"/>
        <xdr:cNvGraphicFramePr/>
      </xdr:nvGraphicFramePr>
      <xdr:xfrm>
        <a:off x="0" y="6248520"/>
        <a:ext cx="4859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30</xdr:row>
      <xdr:rowOff>97200</xdr:rowOff>
    </xdr:from>
    <xdr:to>
      <xdr:col>10</xdr:col>
      <xdr:colOff>622080</xdr:colOff>
      <xdr:row>44</xdr:row>
      <xdr:rowOff>57960</xdr:rowOff>
    </xdr:to>
    <xdr:graphicFrame>
      <xdr:nvGraphicFramePr>
        <xdr:cNvPr id="3" name="Chart 4"/>
        <xdr:cNvGraphicFramePr/>
      </xdr:nvGraphicFramePr>
      <xdr:xfrm>
        <a:off x="3185280" y="6248520"/>
        <a:ext cx="5399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Jobs" displayName="Jobs" ref="A1:AG51" headerRowCount="1" totalsRowCount="0" totalsRowShown="0">
  <autoFilter ref="A1:AG51"/>
  <tableColumns count="33">
    <tableColumn id="1" name="Job ID"/>
    <tableColumn id="2" name="Date Found"/>
    <tableColumn id="3" name="Date Posted"/>
    <tableColumn id="4" name="Industry"/>
    <tableColumn id="5" name="Company"/>
    <tableColumn id="6" name="Title"/>
    <tableColumn id="7" name="Location"/>
    <tableColumn id="8" name="Work Mode"/>
    <tableColumn id="9" name="Job Type"/>
    <tableColumn id="10" name="Pay Range (raw)"/>
    <tableColumn id="11" name="Annual Low $"/>
    <tableColumn id="12" name="Annual High $"/>
    <tableColumn id="13" name="Annual Mid $"/>
    <tableColumn id="14" name="Source"/>
    <tableColumn id="15" name="Apply Link"/>
    <tableColumn id="16" name="Fit (1-5)"/>
    <tableColumn id="17" name="Why It Fits You"/>
    <tableColumn id="18" name="Resume Version"/>
    <tableColumn id="19" name="Stage"/>
    <tableColumn id="20" name="Applied"/>
    <tableColumn id="21" name="Contacted"/>
    <tableColumn id="22" name="Response"/>
    <tableColumn id="23" name="Follow-up Sent"/>
    <tableColumn id="24" name="Interview"/>
    <tableColumn id="25" name="Offer"/>
    <tableColumn id="26" name="Rejected"/>
    <tableColumn id="27" name="Next Action Date"/>
    <tableColumn id="28" name="Days Since Applied"/>
    <tableColumn id="29" name="Follow-up Due?"/>
    <tableColumn id="30" name="Ghosted?"/>
    <tableColumn id="31" name="Rejection Reason"/>
    <tableColumn id="32" name="Dup Key"/>
    <tableColumn id="33" name="Dup?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to.indeed.com/aax99gw6hbrb" TargetMode="External"/><Relationship Id="rId2" Type="http://schemas.openxmlformats.org/officeDocument/2006/relationships/hyperlink" Target="https://to.indeed.com/aay7xrszvfcz" TargetMode="External"/><Relationship Id="rId3" Type="http://schemas.openxmlformats.org/officeDocument/2006/relationships/hyperlink" Target="https://to.indeed.com/aavpsvxl96nc" TargetMode="External"/><Relationship Id="rId4" Type="http://schemas.openxmlformats.org/officeDocument/2006/relationships/hyperlink" Target="https://to.indeed.com/aa7fjmb4wpj2" TargetMode="External"/><Relationship Id="rId5" Type="http://schemas.openxmlformats.org/officeDocument/2006/relationships/hyperlink" Target="https://to.indeed.com/aacwsr2qtwlb" TargetMode="External"/><Relationship Id="rId6" Type="http://schemas.openxmlformats.org/officeDocument/2006/relationships/hyperlink" Target="https://to.indeed.com/aal4dgvq6xv9" TargetMode="External"/><Relationship Id="rId7" Type="http://schemas.openxmlformats.org/officeDocument/2006/relationships/hyperlink" Target="https://to.indeed.com/aajvsvfvjwrc" TargetMode="External"/><Relationship Id="rId8" Type="http://schemas.openxmlformats.org/officeDocument/2006/relationships/hyperlink" Target="https://to.indeed.com/aaps72t8dk8f" TargetMode="External"/><Relationship Id="rId9" Type="http://schemas.openxmlformats.org/officeDocument/2006/relationships/hyperlink" Target="https://to.indeed.com/aa2qxtmxy4bd" TargetMode="External"/><Relationship Id="rId10" Type="http://schemas.openxmlformats.org/officeDocument/2006/relationships/hyperlink" Target="https://to.indeed.com/aads28mmkhyq" TargetMode="External"/><Relationship Id="rId11" Type="http://schemas.openxmlformats.org/officeDocument/2006/relationships/hyperlink" Target="https://to.indeed.com/aa7g6jc9nyk9" TargetMode="External"/><Relationship Id="rId12" Type="http://schemas.openxmlformats.org/officeDocument/2006/relationships/hyperlink" Target="https://to.indeed.com/aavdnzl4qqkf" TargetMode="External"/><Relationship Id="rId13" Type="http://schemas.openxmlformats.org/officeDocument/2006/relationships/hyperlink" Target="https://to.indeed.com/aa7r9mwd7n4z" TargetMode="External"/><Relationship Id="rId14" Type="http://schemas.openxmlformats.org/officeDocument/2006/relationships/hyperlink" Target="https://to.indeed.com/aay7qpqwv4hm" TargetMode="External"/><Relationship Id="rId15" Type="http://schemas.openxmlformats.org/officeDocument/2006/relationships/hyperlink" Target="https://to.indeed.com/aajzj8rzxsjj" TargetMode="External"/><Relationship Id="rId16" Type="http://schemas.openxmlformats.org/officeDocument/2006/relationships/hyperlink" Target="https://to.indeed.com/aaygkdv8pht9" TargetMode="External"/><Relationship Id="rId17" Type="http://schemas.openxmlformats.org/officeDocument/2006/relationships/hyperlink" Target="https://to.indeed.com/aa4gbvpbhrlr" TargetMode="External"/><Relationship Id="rId18" Type="http://schemas.openxmlformats.org/officeDocument/2006/relationships/hyperlink" Target="https://to.indeed.com/aabjzr679tlv" TargetMode="External"/><Relationship Id="rId19" Type="http://schemas.openxmlformats.org/officeDocument/2006/relationships/hyperlink" Target="https://to.indeed.com/aa4kgd6sbtmp" TargetMode="External"/><Relationship Id="rId20" Type="http://schemas.openxmlformats.org/officeDocument/2006/relationships/hyperlink" Target="https://to.indeed.com/aatfz6q9xtf4" TargetMode="External"/><Relationship Id="rId21" Type="http://schemas.openxmlformats.org/officeDocument/2006/relationships/hyperlink" Target="https://to.indeed.com/aay22djqkzs4" TargetMode="External"/><Relationship Id="rId22" Type="http://schemas.openxmlformats.org/officeDocument/2006/relationships/hyperlink" Target="https://to.indeed.com/aaph7dxt762l" TargetMode="External"/><Relationship Id="rId23" Type="http://schemas.openxmlformats.org/officeDocument/2006/relationships/hyperlink" Target="https://to.indeed.com/aaqvns2cnd8q" TargetMode="External"/><Relationship Id="rId24" Type="http://schemas.openxmlformats.org/officeDocument/2006/relationships/hyperlink" Target="https://to.indeed.com/aagzwvczrjsl" TargetMode="External"/><Relationship Id="rId25" Type="http://schemas.openxmlformats.org/officeDocument/2006/relationships/hyperlink" Target="https://to.indeed.com/aagnx8j42zdy" TargetMode="External"/><Relationship Id="rId26" Type="http://schemas.openxmlformats.org/officeDocument/2006/relationships/hyperlink" Target="https://to.indeed.com/aakg8s2nsqlb" TargetMode="External"/><Relationship Id="rId27" Type="http://schemas.openxmlformats.org/officeDocument/2006/relationships/hyperlink" Target="https://to.indeed.com/aa4k6ln4yhdj" TargetMode="External"/><Relationship Id="rId28" Type="http://schemas.openxmlformats.org/officeDocument/2006/relationships/hyperlink" Target="https://to.indeed.com/aay8bxlp2jhm" TargetMode="External"/><Relationship Id="rId29" Type="http://schemas.openxmlformats.org/officeDocument/2006/relationships/hyperlink" Target="https://to.indeed.com/aa6bykh42c27" TargetMode="External"/><Relationship Id="rId30" Type="http://schemas.openxmlformats.org/officeDocument/2006/relationships/hyperlink" Target="https://to.indeed.com/aarswx9rsgg8" TargetMode="External"/><Relationship Id="rId31" Type="http://schemas.openxmlformats.org/officeDocument/2006/relationships/hyperlink" Target="https://to.indeed.com/aaszbvtnmqgd" TargetMode="External"/><Relationship Id="rId32" Type="http://schemas.openxmlformats.org/officeDocument/2006/relationships/hyperlink" Target="https://to.indeed.com/aazrgznjy9nf" TargetMode="External"/><Relationship Id="rId33" Type="http://schemas.openxmlformats.org/officeDocument/2006/relationships/hyperlink" Target="https://to.indeed.com/aar9jthdmd6m" TargetMode="External"/><Relationship Id="rId34" Type="http://schemas.openxmlformats.org/officeDocument/2006/relationships/hyperlink" Target="https://to.indeed.com/aahggs7qsv2t" TargetMode="External"/><Relationship Id="rId35" Type="http://schemas.openxmlformats.org/officeDocument/2006/relationships/hyperlink" Target="https://to.indeed.com/aabxzz7wbksg" TargetMode="External"/><Relationship Id="rId36" Type="http://schemas.openxmlformats.org/officeDocument/2006/relationships/hyperlink" Target="https://to.indeed.com/aa7bgbfgdsvq" TargetMode="External"/><Relationship Id="rId37" Type="http://schemas.openxmlformats.org/officeDocument/2006/relationships/hyperlink" Target="https://to.indeed.com/aagcmn2bgpkl" TargetMode="External"/><Relationship Id="rId38" Type="http://schemas.openxmlformats.org/officeDocument/2006/relationships/hyperlink" Target="https://to.indeed.com/aa6kytzgsfc9" TargetMode="External"/><Relationship Id="rId39" Type="http://schemas.openxmlformats.org/officeDocument/2006/relationships/hyperlink" Target="https://to.indeed.com/aa2kp46gqspf" TargetMode="External"/><Relationship Id="rId40" Type="http://schemas.openxmlformats.org/officeDocument/2006/relationships/hyperlink" Target="https://to.indeed.com/aaxvy66h9pbv" TargetMode="External"/><Relationship Id="rId41" Type="http://schemas.openxmlformats.org/officeDocument/2006/relationships/hyperlink" Target="https://to.indeed.com/aajwldks9z8f" TargetMode="External"/><Relationship Id="rId42" Type="http://schemas.openxmlformats.org/officeDocument/2006/relationships/hyperlink" Target="https://to.indeed.com/aaqcrksckysy" TargetMode="External"/><Relationship Id="rId43" Type="http://schemas.openxmlformats.org/officeDocument/2006/relationships/hyperlink" Target="https://to.indeed.com/aap2xlmscfpk" TargetMode="External"/><Relationship Id="rId44" Type="http://schemas.openxmlformats.org/officeDocument/2006/relationships/hyperlink" Target="https://to.indeed.com/aamzf2mnbbvv" TargetMode="External"/><Relationship Id="rId45" Type="http://schemas.openxmlformats.org/officeDocument/2006/relationships/hyperlink" Target="https://to.indeed.com/aarjzv4yn92x" TargetMode="External"/><Relationship Id="rId46" Type="http://schemas.openxmlformats.org/officeDocument/2006/relationships/hyperlink" Target="https://to.indeed.com/aa46td7q2glh" TargetMode="External"/><Relationship Id="rId47" Type="http://schemas.openxmlformats.org/officeDocument/2006/relationships/hyperlink" Target="https://to.indeed.com/aa2gprnx4j7z" TargetMode="External"/><Relationship Id="rId48" Type="http://schemas.openxmlformats.org/officeDocument/2006/relationships/hyperlink" Target="https://to.indeed.com/aa6fwcg78vsx" TargetMode="External"/><Relationship Id="rId49" Type="http://schemas.openxmlformats.org/officeDocument/2006/relationships/hyperlink" Target="https://to.indeed.com/aajxwjry2ssr" TargetMode="External"/><Relationship Id="rId50" Type="http://schemas.openxmlformats.org/officeDocument/2006/relationships/hyperlink" Target="https://to.indeed.com/aa4q4nmv9jr6" TargetMode="External"/><Relationship Id="rId5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V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.3"/>
    <col collapsed="false" customWidth="true" hidden="false" outlineLevel="0" max="16" min="16" style="0" width="24"/>
    <col collapsed="false" customWidth="true" hidden="false" outlineLevel="0" max="22" min="17" style="0" width="16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P3" s="3" t="s">
        <v>2</v>
      </c>
      <c r="Q3" s="3"/>
      <c r="R3" s="3"/>
      <c r="S3" s="3"/>
      <c r="T3" s="3"/>
      <c r="U3" s="3"/>
      <c r="V3" s="3"/>
    </row>
    <row r="4" customFormat="false" ht="15" hidden="false" customHeight="false" outlineLevel="0" collapsed="false">
      <c r="A4" s="4" t="str">
        <f aca="true">"Updated:  "&amp;TEXT(TODAY(),"dddd, mmm d, yyyy")&amp;"   (times in Eastern)"</f>
        <v>Updated:  Friday, Oct 23, 2026   (times in Eastern)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" hidden="false" customHeight="false" outlineLevel="0" collapsed="false">
      <c r="P5" s="5" t="s">
        <v>3</v>
      </c>
      <c r="Q5" s="5" t="s">
        <v>4</v>
      </c>
      <c r="U5" s="5" t="s">
        <v>5</v>
      </c>
      <c r="V5" s="5" t="s">
        <v>6</v>
      </c>
    </row>
    <row r="6" customFormat="false" ht="19.5" hidden="false" customHeight="true" outlineLevel="0" collapsed="false">
      <c r="A6" s="6" t="n">
        <f aca="false">COUNTA(Jobs!$A$2:$A$1000)</f>
        <v>50</v>
      </c>
      <c r="B6" s="6"/>
      <c r="C6" s="7" t="n">
        <f aca="false">COUNT(Jobs!$T$2:$T$1000)</f>
        <v>0</v>
      </c>
      <c r="D6" s="7"/>
      <c r="E6" s="8" t="n">
        <f aca="false">COUNT(Jobs!$U$2:$U$1000)</f>
        <v>0</v>
      </c>
      <c r="F6" s="8"/>
      <c r="G6" s="9" t="n">
        <f aca="false">COUNT(Jobs!$V$2:$V$1000)</f>
        <v>0</v>
      </c>
      <c r="H6" s="9"/>
      <c r="I6" s="10" t="n">
        <f aca="false">COUNT(Jobs!$X$2:$X$1000)</f>
        <v>0</v>
      </c>
      <c r="J6" s="10"/>
      <c r="K6" s="11" t="n">
        <f aca="false">COUNT(Jobs!$Y$2:$Y$1000)</f>
        <v>0</v>
      </c>
      <c r="L6" s="11"/>
      <c r="M6" s="12" t="n">
        <f aca="false">COUNT(Jobs!$Z$2:$Z$1000)</f>
        <v>0</v>
      </c>
      <c r="N6" s="12"/>
      <c r="P6" s="13" t="s">
        <v>7</v>
      </c>
      <c r="Q6" s="14" t="n">
        <f aca="false">$A$6</f>
        <v>50</v>
      </c>
      <c r="U6" s="15" t="n">
        <v>46300</v>
      </c>
      <c r="V6" s="16" t="n">
        <f aca="false">COUNTIFS(Jobs!$T$2:$T$1000,"&gt;="&amp;U6,Jobs!$T$2:$T$1000,"&lt;"&amp;U6+7)</f>
        <v>0</v>
      </c>
    </row>
    <row r="7" customFormat="false" ht="19.5" hidden="false" customHeight="true" outlineLevel="0" collapsed="false">
      <c r="A7" s="6"/>
      <c r="B7" s="6"/>
      <c r="C7" s="7"/>
      <c r="D7" s="7"/>
      <c r="E7" s="8"/>
      <c r="F7" s="8"/>
      <c r="G7" s="9"/>
      <c r="H7" s="9"/>
      <c r="I7" s="10"/>
      <c r="J7" s="10"/>
      <c r="K7" s="11"/>
      <c r="L7" s="11"/>
      <c r="M7" s="12"/>
      <c r="N7" s="12"/>
      <c r="P7" s="13" t="s">
        <v>8</v>
      </c>
      <c r="Q7" s="14" t="n">
        <f aca="false">$C$6</f>
        <v>0</v>
      </c>
      <c r="U7" s="15" t="n">
        <v>46307</v>
      </c>
      <c r="V7" s="16" t="n">
        <f aca="false">COUNTIFS(Jobs!$T$2:$T$1000,"&gt;="&amp;U7,Jobs!$T$2:$T$1000,"&lt;"&amp;U7+7)</f>
        <v>0</v>
      </c>
    </row>
    <row r="8" customFormat="false" ht="15" hidden="false" customHeight="false" outlineLevel="0" collapsed="false">
      <c r="A8" s="17" t="s">
        <v>9</v>
      </c>
      <c r="B8" s="17"/>
      <c r="C8" s="18" t="s">
        <v>10</v>
      </c>
      <c r="D8" s="18"/>
      <c r="E8" s="19" t="s">
        <v>11</v>
      </c>
      <c r="F8" s="19"/>
      <c r="G8" s="20" t="s">
        <v>12</v>
      </c>
      <c r="H8" s="20"/>
      <c r="I8" s="21" t="s">
        <v>13</v>
      </c>
      <c r="J8" s="21"/>
      <c r="K8" s="22" t="s">
        <v>14</v>
      </c>
      <c r="L8" s="22"/>
      <c r="M8" s="23" t="s">
        <v>15</v>
      </c>
      <c r="N8" s="23"/>
      <c r="P8" s="13" t="s">
        <v>16</v>
      </c>
      <c r="Q8" s="14" t="n">
        <f aca="false">$E$6</f>
        <v>0</v>
      </c>
      <c r="U8" s="15" t="n">
        <v>46314</v>
      </c>
      <c r="V8" s="16" t="n">
        <f aca="false">COUNTIFS(Jobs!$T$2:$T$1000,"&gt;="&amp;U8,Jobs!$T$2:$T$1000,"&lt;"&amp;U8+7)</f>
        <v>0</v>
      </c>
    </row>
    <row r="9" customFormat="false" ht="15" hidden="false" customHeight="false" outlineLevel="0" collapsed="false">
      <c r="P9" s="13" t="s">
        <v>17</v>
      </c>
      <c r="Q9" s="14" t="n">
        <f aca="false">$G$6</f>
        <v>0</v>
      </c>
      <c r="U9" s="15" t="n">
        <v>46321</v>
      </c>
      <c r="V9" s="16" t="n">
        <f aca="false">COUNTIFS(Jobs!$T$2:$T$1000,"&gt;="&amp;U9,Jobs!$T$2:$T$1000,"&lt;"&amp;U9+7)</f>
        <v>0</v>
      </c>
    </row>
    <row r="10" customFormat="false" ht="15" hidden="false" customHeight="false" outlineLevel="0" collapsed="false">
      <c r="P10" s="13" t="s">
        <v>18</v>
      </c>
      <c r="Q10" s="14" t="n">
        <f aca="false">$I$6</f>
        <v>0</v>
      </c>
      <c r="U10" s="15" t="n">
        <v>46328</v>
      </c>
      <c r="V10" s="16" t="n">
        <f aca="false">COUNTIFS(Jobs!$T$2:$T$1000,"&gt;="&amp;U10,Jobs!$T$2:$T$1000,"&lt;"&amp;U10+7)</f>
        <v>0</v>
      </c>
    </row>
    <row r="11" customFormat="false" ht="19.5" hidden="false" customHeight="true" outlineLevel="0" collapsed="false">
      <c r="A11" s="24" t="n">
        <f aca="false">IF($C$6=0,0,$G$6/$C$6)</f>
        <v>0</v>
      </c>
      <c r="B11" s="24"/>
      <c r="C11" s="24" t="n">
        <f aca="false">IF($C$6=0,0,$I$6/$C$6)</f>
        <v>0</v>
      </c>
      <c r="D11" s="24"/>
      <c r="E11" s="24" t="n">
        <f aca="false">IF($C$6=0,0,$K$6/$C$6)</f>
        <v>0</v>
      </c>
      <c r="F11" s="24"/>
      <c r="G11" s="25" t="str">
        <f aca="false">IF(SUMPRODUCT((Jobs!$V$2:$V$1000&lt;&gt;"")*(Jobs!$T$2:$T$1000&lt;&gt;""))=0,"—",SUMPRODUCT((Jobs!$V$2:$V$1000&lt;&gt;"")*(Jobs!$T$2:$T$1000&lt;&gt;"")*(Jobs!$V$2:$V$1000-Jobs!$T$2:$T$1000))/SUMPRODUCT((Jobs!$V$2:$V$1000&lt;&gt;"")*(Jobs!$T$2:$T$1000&lt;&gt;"")))</f>
        <v>—</v>
      </c>
      <c r="H11" s="25"/>
      <c r="I11" s="26" t="n">
        <f aca="false">COUNTIF(Jobs!$AC$2:$AC$1000,"DUE")</f>
        <v>0</v>
      </c>
      <c r="J11" s="26"/>
      <c r="K11" s="27" t="n">
        <f aca="false">COUNTIF(Jobs!$AD$2:$AD$1000,"GHOSTED")</f>
        <v>0</v>
      </c>
      <c r="L11" s="27"/>
      <c r="M11" s="28" t="n">
        <f aca="false">$A$6-$M$6-COUNTIF(Jobs!$AD$2:$AD$1000,"GHOSTED")</f>
        <v>50</v>
      </c>
      <c r="N11" s="28"/>
      <c r="P11" s="13" t="s">
        <v>19</v>
      </c>
      <c r="Q11" s="14" t="n">
        <f aca="false">$K$6</f>
        <v>0</v>
      </c>
      <c r="U11" s="15" t="n">
        <v>46335</v>
      </c>
      <c r="V11" s="16" t="n">
        <f aca="false">COUNTIFS(Jobs!$T$2:$T$1000,"&gt;="&amp;U11,Jobs!$T$2:$T$1000,"&lt;"&amp;U11+7)</f>
        <v>0</v>
      </c>
    </row>
    <row r="12" customFormat="false" ht="19.5" hidden="false" customHeight="true" outlineLevel="0" collapsed="false">
      <c r="A12" s="24"/>
      <c r="B12" s="24"/>
      <c r="C12" s="24"/>
      <c r="D12" s="24"/>
      <c r="E12" s="24"/>
      <c r="F12" s="24"/>
      <c r="G12" s="25"/>
      <c r="H12" s="25"/>
      <c r="I12" s="26"/>
      <c r="J12" s="26"/>
      <c r="K12" s="27"/>
      <c r="L12" s="27"/>
      <c r="M12" s="28"/>
      <c r="N12" s="28"/>
      <c r="U12" s="15" t="n">
        <v>46342</v>
      </c>
      <c r="V12" s="16" t="n">
        <f aca="false">COUNTIFS(Jobs!$T$2:$T$1000,"&gt;="&amp;U12,Jobs!$T$2:$T$1000,"&lt;"&amp;U12+7)</f>
        <v>0</v>
      </c>
    </row>
    <row r="13" customFormat="false" ht="15" hidden="false" customHeight="false" outlineLevel="0" collapsed="false">
      <c r="A13" s="29" t="s">
        <v>20</v>
      </c>
      <c r="B13" s="29"/>
      <c r="C13" s="29" t="s">
        <v>21</v>
      </c>
      <c r="D13" s="29"/>
      <c r="E13" s="29" t="s">
        <v>22</v>
      </c>
      <c r="F13" s="29"/>
      <c r="G13" s="29" t="s">
        <v>23</v>
      </c>
      <c r="H13" s="29"/>
      <c r="I13" s="30" t="s">
        <v>24</v>
      </c>
      <c r="J13" s="30"/>
      <c r="K13" s="31" t="s">
        <v>25</v>
      </c>
      <c r="L13" s="31"/>
      <c r="M13" s="32" t="s">
        <v>26</v>
      </c>
      <c r="N13" s="32"/>
      <c r="P13" s="5" t="s">
        <v>27</v>
      </c>
      <c r="Q13" s="5" t="s">
        <v>28</v>
      </c>
      <c r="R13" s="5" t="s">
        <v>8</v>
      </c>
      <c r="U13" s="15" t="n">
        <v>46349</v>
      </c>
      <c r="V13" s="16" t="n">
        <f aca="false">COUNTIFS(Jobs!$T$2:$T$1000,"&gt;="&amp;U13,Jobs!$T$2:$T$1000,"&lt;"&amp;U13+7)</f>
        <v>0</v>
      </c>
    </row>
    <row r="14" customFormat="false" ht="15" hidden="false" customHeight="false" outlineLevel="0" collapsed="false">
      <c r="P14" s="13" t="s">
        <v>29</v>
      </c>
      <c r="Q14" s="16" t="n">
        <f aca="false">COUNTIF(Jobs!$D$2:$D$1000,P14)</f>
        <v>10</v>
      </c>
      <c r="R14" s="16" t="n">
        <f aca="false">COUNTIFS(Jobs!$D$2:$D$1000,P14,Jobs!$T$2:$T$1000,"&lt;&gt;")</f>
        <v>0</v>
      </c>
      <c r="U14" s="15" t="n">
        <v>46356</v>
      </c>
      <c r="V14" s="16" t="n">
        <f aca="false">COUNTIFS(Jobs!$T$2:$T$1000,"&gt;="&amp;U14,Jobs!$T$2:$T$1000,"&lt;"&amp;U14+7)</f>
        <v>0</v>
      </c>
    </row>
    <row r="15" customFormat="false" ht="22.35" hidden="false" customHeight="false" outlineLevel="0" collapsed="false">
      <c r="A15" s="33" t="s">
        <v>30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P15" s="13" t="s">
        <v>31</v>
      </c>
      <c r="Q15" s="16" t="n">
        <f aca="false">COUNTIF(Jobs!$D$2:$D$1000,P15)</f>
        <v>23</v>
      </c>
      <c r="R15" s="16" t="n">
        <f aca="false">COUNTIFS(Jobs!$D$2:$D$1000,P15,Jobs!$T$2:$T$1000,"&lt;&gt;")</f>
        <v>0</v>
      </c>
      <c r="U15" s="15" t="n">
        <v>46363</v>
      </c>
      <c r="V15" s="16" t="n">
        <f aca="false">COUNTIFS(Jobs!$T$2:$T$1000,"&gt;="&amp;U15,Jobs!$T$2:$T$1000,"&lt;"&amp;U15+7)</f>
        <v>0</v>
      </c>
    </row>
    <row r="16" customFormat="false" ht="15" hidden="false" customHeight="false" outlineLevel="0" collapsed="false">
      <c r="P16" s="13" t="s">
        <v>32</v>
      </c>
      <c r="Q16" s="16" t="n">
        <f aca="false">COUNTIF(Jobs!$D$2:$D$1000,P16)</f>
        <v>2</v>
      </c>
      <c r="R16" s="16" t="n">
        <f aca="false">COUNTIFS(Jobs!$D$2:$D$1000,P16,Jobs!$T$2:$T$1000,"&lt;&gt;")</f>
        <v>0</v>
      </c>
      <c r="U16" s="15" t="n">
        <v>46370</v>
      </c>
      <c r="V16" s="16" t="n">
        <f aca="false">COUNTIFS(Jobs!$T$2:$T$1000,"&gt;="&amp;U16,Jobs!$T$2:$T$1000,"&lt;"&amp;U16+7)</f>
        <v>0</v>
      </c>
    </row>
    <row r="17" customFormat="false" ht="15" hidden="false" customHeight="false" outlineLevel="0" collapsed="false">
      <c r="P17" s="13" t="s">
        <v>33</v>
      </c>
      <c r="Q17" s="16" t="n">
        <f aca="false">COUNTIF(Jobs!$D$2:$D$1000,P17)</f>
        <v>4</v>
      </c>
      <c r="R17" s="16" t="n">
        <f aca="false">COUNTIFS(Jobs!$D$2:$D$1000,P17,Jobs!$T$2:$T$1000,"&lt;&gt;")</f>
        <v>0</v>
      </c>
      <c r="U17" s="15" t="n">
        <v>46377</v>
      </c>
      <c r="V17" s="16" t="n">
        <f aca="false">COUNTIFS(Jobs!$T$2:$T$1000,"&gt;="&amp;U17,Jobs!$T$2:$T$1000,"&lt;"&amp;U17+7)</f>
        <v>0</v>
      </c>
    </row>
    <row r="18" customFormat="false" ht="15" hidden="false" customHeight="false" outlineLevel="0" collapsed="false">
      <c r="P18" s="13" t="s">
        <v>34</v>
      </c>
      <c r="Q18" s="16" t="n">
        <f aca="false">COUNTIF(Jobs!$D$2:$D$1000,P18)</f>
        <v>8</v>
      </c>
      <c r="R18" s="16" t="n">
        <f aca="false">COUNTIFS(Jobs!$D$2:$D$1000,P18,Jobs!$T$2:$T$1000,"&lt;&gt;")</f>
        <v>0</v>
      </c>
      <c r="U18" s="15" t="n">
        <v>46384</v>
      </c>
      <c r="V18" s="16" t="n">
        <f aca="false">COUNTIFS(Jobs!$T$2:$T$1000,"&gt;="&amp;U18,Jobs!$T$2:$T$1000,"&lt;"&amp;U18+7)</f>
        <v>0</v>
      </c>
    </row>
    <row r="19" customFormat="false" ht="15" hidden="false" customHeight="false" outlineLevel="0" collapsed="false">
      <c r="P19" s="13" t="s">
        <v>35</v>
      </c>
      <c r="Q19" s="16" t="n">
        <f aca="false">COUNTIF(Jobs!$D$2:$D$1000,P19)</f>
        <v>2</v>
      </c>
      <c r="R19" s="16" t="n">
        <f aca="false">COUNTIFS(Jobs!$D$2:$D$1000,P19,Jobs!$T$2:$T$1000,"&lt;&gt;")</f>
        <v>0</v>
      </c>
      <c r="U19" s="15" t="n">
        <v>46391</v>
      </c>
      <c r="V19" s="16" t="n">
        <f aca="false">COUNTIFS(Jobs!$T$2:$T$1000,"&gt;="&amp;U19,Jobs!$T$2:$T$1000,"&lt;"&amp;U19+7)</f>
        <v>0</v>
      </c>
    </row>
    <row r="20" customFormat="false" ht="15" hidden="false" customHeight="false" outlineLevel="0" collapsed="false">
      <c r="P20" s="13" t="s">
        <v>36</v>
      </c>
      <c r="Q20" s="16" t="n">
        <f aca="false">COUNTIF(Jobs!$D$2:$D$1000,P20)</f>
        <v>1</v>
      </c>
      <c r="R20" s="16" t="n">
        <f aca="false">COUNTIFS(Jobs!$D$2:$D$1000,P20,Jobs!$T$2:$T$1000,"&lt;&gt;")</f>
        <v>0</v>
      </c>
      <c r="U20" s="15" t="n">
        <v>46398</v>
      </c>
      <c r="V20" s="16" t="n">
        <f aca="false">COUNTIFS(Jobs!$T$2:$T$1000,"&gt;="&amp;U20,Jobs!$T$2:$T$1000,"&lt;"&amp;U20+7)</f>
        <v>0</v>
      </c>
    </row>
    <row r="21" customFormat="false" ht="15" hidden="false" customHeight="false" outlineLevel="0" collapsed="false">
      <c r="P21" s="13" t="s">
        <v>37</v>
      </c>
      <c r="Q21" s="16" t="n">
        <f aca="false">COUNTIF(Jobs!$D$2:$D$1000,P21)</f>
        <v>0</v>
      </c>
      <c r="R21" s="16" t="n">
        <f aca="false">COUNTIFS(Jobs!$D$2:$D$1000,P21,Jobs!$T$2:$T$1000,"&lt;&gt;")</f>
        <v>0</v>
      </c>
      <c r="U21" s="15" t="n">
        <v>46405</v>
      </c>
      <c r="V21" s="16" t="n">
        <f aca="false">COUNTIFS(Jobs!$T$2:$T$1000,"&gt;="&amp;U21,Jobs!$T$2:$T$1000,"&lt;"&amp;U21+7)</f>
        <v>0</v>
      </c>
    </row>
    <row r="22" customFormat="false" ht="15" hidden="false" customHeight="false" outlineLevel="0" collapsed="false">
      <c r="P22" s="13" t="s">
        <v>38</v>
      </c>
      <c r="Q22" s="16" t="n">
        <f aca="false">COUNTIF(Jobs!$D$2:$D$1000,P22)</f>
        <v>0</v>
      </c>
      <c r="R22" s="16" t="n">
        <f aca="false">COUNTIFS(Jobs!$D$2:$D$1000,P22,Jobs!$T$2:$T$1000,"&lt;&gt;")</f>
        <v>0</v>
      </c>
    </row>
    <row r="23" customFormat="false" ht="15" hidden="false" customHeight="false" outlineLevel="0" collapsed="false">
      <c r="P23" s="13" t="s">
        <v>39</v>
      </c>
      <c r="Q23" s="16" t="n">
        <f aca="false">COUNTIF(Jobs!$D$2:$D$1000,P23)</f>
        <v>0</v>
      </c>
      <c r="R23" s="16" t="n">
        <f aca="false">COUNTIFS(Jobs!$D$2:$D$1000,P23,Jobs!$T$2:$T$1000,"&lt;&gt;")</f>
        <v>0</v>
      </c>
    </row>
    <row r="25" customFormat="false" ht="15" hidden="false" customHeight="false" outlineLevel="0" collapsed="false">
      <c r="P25" s="5" t="s">
        <v>40</v>
      </c>
      <c r="Q25" s="5" t="s">
        <v>8</v>
      </c>
      <c r="R25" s="5" t="s">
        <v>41</v>
      </c>
      <c r="S25" s="5" t="s">
        <v>42</v>
      </c>
    </row>
    <row r="26" customFormat="false" ht="15" hidden="false" customHeight="false" outlineLevel="0" collapsed="false">
      <c r="P26" s="13" t="s">
        <v>43</v>
      </c>
      <c r="Q26" s="16" t="n">
        <f aca="false">COUNTIFS(Jobs!$N$2:$N$1000,P26,Jobs!$T$2:$T$1000,"&lt;&gt;")</f>
        <v>0</v>
      </c>
      <c r="R26" s="16" t="n">
        <f aca="false">COUNTIFS(Jobs!$N$2:$N$1000,P26,Jobs!$V$2:$V$1000,"&lt;&gt;")</f>
        <v>0</v>
      </c>
      <c r="S26" s="34" t="n">
        <f aca="false">IF(Q26=0,0,R26/Q26)</f>
        <v>0</v>
      </c>
    </row>
    <row r="27" customFormat="false" ht="15" hidden="false" customHeight="false" outlineLevel="0" collapsed="false">
      <c r="P27" s="13" t="s">
        <v>44</v>
      </c>
      <c r="Q27" s="16" t="n">
        <f aca="false">COUNTIFS(Jobs!$N$2:$N$1000,P27,Jobs!$T$2:$T$1000,"&lt;&gt;")</f>
        <v>0</v>
      </c>
      <c r="R27" s="16" t="n">
        <f aca="false">COUNTIFS(Jobs!$N$2:$N$1000,P27,Jobs!$V$2:$V$1000,"&lt;&gt;")</f>
        <v>0</v>
      </c>
      <c r="S27" s="34" t="n">
        <f aca="false">IF(Q27=0,0,R27/Q27)</f>
        <v>0</v>
      </c>
    </row>
    <row r="28" customFormat="false" ht="15" hidden="false" customHeight="false" outlineLevel="0" collapsed="false">
      <c r="P28" s="13" t="s">
        <v>45</v>
      </c>
      <c r="Q28" s="16" t="n">
        <f aca="false">COUNTIFS(Jobs!$N$2:$N$1000,P28,Jobs!$T$2:$T$1000,"&lt;&gt;")</f>
        <v>0</v>
      </c>
      <c r="R28" s="16" t="n">
        <f aca="false">COUNTIFS(Jobs!$N$2:$N$1000,P28,Jobs!$V$2:$V$1000,"&lt;&gt;")</f>
        <v>0</v>
      </c>
      <c r="S28" s="34" t="n">
        <f aca="false">IF(Q28=0,0,R28/Q28)</f>
        <v>0</v>
      </c>
    </row>
    <row r="29" customFormat="false" ht="15" hidden="false" customHeight="false" outlineLevel="0" collapsed="false">
      <c r="P29" s="13" t="s">
        <v>46</v>
      </c>
      <c r="Q29" s="16" t="n">
        <f aca="false">COUNTIFS(Jobs!$N$2:$N$1000,P29,Jobs!$T$2:$T$1000,"&lt;&gt;")</f>
        <v>0</v>
      </c>
      <c r="R29" s="16" t="n">
        <f aca="false">COUNTIFS(Jobs!$N$2:$N$1000,P29,Jobs!$V$2:$V$1000,"&lt;&gt;")</f>
        <v>0</v>
      </c>
      <c r="S29" s="34" t="n">
        <f aca="false">IF(Q29=0,0,R29/Q29)</f>
        <v>0</v>
      </c>
    </row>
    <row r="30" customFormat="false" ht="15" hidden="false" customHeight="false" outlineLevel="0" collapsed="false">
      <c r="P30" s="13" t="s">
        <v>47</v>
      </c>
      <c r="Q30" s="16" t="n">
        <f aca="false">COUNTIFS(Jobs!$N$2:$N$1000,P30,Jobs!$T$2:$T$1000,"&lt;&gt;")</f>
        <v>0</v>
      </c>
      <c r="R30" s="16" t="n">
        <f aca="false">COUNTIFS(Jobs!$N$2:$N$1000,P30,Jobs!$V$2:$V$1000,"&lt;&gt;")</f>
        <v>0</v>
      </c>
      <c r="S30" s="34" t="n">
        <f aca="false">IF(Q30=0,0,R30/Q30)</f>
        <v>0</v>
      </c>
    </row>
    <row r="31" customFormat="false" ht="15" hidden="false" customHeight="false" outlineLevel="0" collapsed="false">
      <c r="P31" s="13" t="s">
        <v>48</v>
      </c>
      <c r="Q31" s="16" t="n">
        <f aca="false">COUNTIFS(Jobs!$N$2:$N$1000,P31,Jobs!$T$2:$T$1000,"&lt;&gt;")</f>
        <v>0</v>
      </c>
      <c r="R31" s="16" t="n">
        <f aca="false">COUNTIFS(Jobs!$N$2:$N$1000,P31,Jobs!$V$2:$V$1000,"&lt;&gt;")</f>
        <v>0</v>
      </c>
      <c r="S31" s="34" t="n">
        <f aca="false">IF(Q31=0,0,R31/Q31)</f>
        <v>0</v>
      </c>
    </row>
  </sheetData>
  <mergeCells count="33">
    <mergeCell ref="A1:N2"/>
    <mergeCell ref="A3:N3"/>
    <mergeCell ref="P3:V3"/>
    <mergeCell ref="A4:N4"/>
    <mergeCell ref="A6:B7"/>
    <mergeCell ref="C6:D7"/>
    <mergeCell ref="E6:F7"/>
    <mergeCell ref="G6:H7"/>
    <mergeCell ref="I6:J7"/>
    <mergeCell ref="K6:L7"/>
    <mergeCell ref="M6:N7"/>
    <mergeCell ref="A8:B8"/>
    <mergeCell ref="C8:D8"/>
    <mergeCell ref="E8:F8"/>
    <mergeCell ref="G8:H8"/>
    <mergeCell ref="I8:J8"/>
    <mergeCell ref="K8:L8"/>
    <mergeCell ref="M8:N8"/>
    <mergeCell ref="A11:B12"/>
    <mergeCell ref="C11:D12"/>
    <mergeCell ref="E11:F12"/>
    <mergeCell ref="G11:H12"/>
    <mergeCell ref="I11:J12"/>
    <mergeCell ref="K11:L12"/>
    <mergeCell ref="M11:N12"/>
    <mergeCell ref="A13:B13"/>
    <mergeCell ref="C13:D13"/>
    <mergeCell ref="E13:F13"/>
    <mergeCell ref="G13:H13"/>
    <mergeCell ref="I13:J13"/>
    <mergeCell ref="K13:L13"/>
    <mergeCell ref="M13:N13"/>
    <mergeCell ref="A15:N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9" min="8" style="0" width="11"/>
    <col collapsed="false" customWidth="true" hidden="false" outlineLevel="0" max="10" min="10" style="0" width="15"/>
    <col collapsed="false" customWidth="true" hidden="false" outlineLevel="0" max="14" min="11" style="0" width="11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34"/>
    <col collapsed="false" customWidth="true" hidden="false" outlineLevel="0" max="18" min="18" style="0" width="15"/>
    <col collapsed="false" customWidth="true" hidden="false" outlineLevel="0" max="19" min="19" style="0" width="13"/>
    <col collapsed="false" customWidth="true" hidden="false" outlineLevel="0" max="22" min="20" style="0" width="11"/>
    <col collapsed="false" customWidth="true" hidden="false" outlineLevel="0" max="23" min="23" style="0" width="12"/>
    <col collapsed="false" customWidth="true" hidden="false" outlineLevel="0" max="26" min="24" style="0" width="11"/>
    <col collapsed="false" customWidth="true" hidden="false" outlineLevel="0" max="27" min="27" style="0" width="13"/>
    <col collapsed="false" customWidth="true" hidden="false" outlineLevel="0" max="30" min="28" style="0" width="10"/>
    <col collapsed="false" customWidth="true" hidden="false" outlineLevel="0" max="31" min="31" style="0" width="18"/>
    <col collapsed="false" customWidth="true" hidden="false" outlineLevel="0" max="32" min="32" style="0" width="26"/>
    <col collapsed="false" customWidth="true" hidden="false" outlineLevel="0" max="33" min="33" style="0" width="7"/>
  </cols>
  <sheetData>
    <row r="1" customFormat="false" ht="33.75" hidden="false" customHeight="true" outlineLevel="0" collapsed="false">
      <c r="A1" s="35" t="s">
        <v>49</v>
      </c>
      <c r="B1" s="35" t="s">
        <v>50</v>
      </c>
      <c r="C1" s="35" t="s">
        <v>51</v>
      </c>
      <c r="D1" s="35" t="s">
        <v>27</v>
      </c>
      <c r="E1" s="35" t="s">
        <v>52</v>
      </c>
      <c r="F1" s="35" t="s">
        <v>53</v>
      </c>
      <c r="G1" s="35" t="s">
        <v>54</v>
      </c>
      <c r="H1" s="35" t="s">
        <v>55</v>
      </c>
      <c r="I1" s="35" t="s">
        <v>56</v>
      </c>
      <c r="J1" s="35" t="s">
        <v>57</v>
      </c>
      <c r="K1" s="35" t="s">
        <v>58</v>
      </c>
      <c r="L1" s="35" t="s">
        <v>59</v>
      </c>
      <c r="M1" s="35" t="s">
        <v>60</v>
      </c>
      <c r="N1" s="35" t="s">
        <v>40</v>
      </c>
      <c r="O1" s="35" t="s">
        <v>61</v>
      </c>
      <c r="P1" s="35" t="s">
        <v>62</v>
      </c>
      <c r="Q1" s="35" t="s">
        <v>63</v>
      </c>
      <c r="R1" s="35" t="s">
        <v>64</v>
      </c>
      <c r="S1" s="35" t="s">
        <v>65</v>
      </c>
      <c r="T1" s="35" t="s">
        <v>8</v>
      </c>
      <c r="U1" s="35" t="s">
        <v>16</v>
      </c>
      <c r="V1" s="35" t="s">
        <v>66</v>
      </c>
      <c r="W1" s="35" t="s">
        <v>67</v>
      </c>
      <c r="X1" s="35" t="s">
        <v>18</v>
      </c>
      <c r="Y1" s="35" t="s">
        <v>19</v>
      </c>
      <c r="Z1" s="35" t="s">
        <v>68</v>
      </c>
      <c r="AA1" s="35" t="s">
        <v>69</v>
      </c>
      <c r="AB1" s="35" t="s">
        <v>70</v>
      </c>
      <c r="AC1" s="35" t="s">
        <v>71</v>
      </c>
      <c r="AD1" s="35" t="s">
        <v>72</v>
      </c>
      <c r="AE1" s="35" t="s">
        <v>73</v>
      </c>
      <c r="AF1" s="35" t="s">
        <v>74</v>
      </c>
      <c r="AG1" s="35" t="s">
        <v>75</v>
      </c>
    </row>
    <row r="2" customFormat="false" ht="32.8" hidden="false" customHeight="false" outlineLevel="0" collapsed="false">
      <c r="A2" s="36" t="s">
        <v>76</v>
      </c>
      <c r="B2" s="37" t="n">
        <v>46318</v>
      </c>
      <c r="C2" s="37" t="n">
        <v>46297</v>
      </c>
      <c r="D2" s="36" t="s">
        <v>29</v>
      </c>
      <c r="E2" s="36" t="s">
        <v>77</v>
      </c>
      <c r="F2" s="38" t="s">
        <v>78</v>
      </c>
      <c r="G2" s="36" t="s">
        <v>79</v>
      </c>
      <c r="H2" s="36" t="s">
        <v>80</v>
      </c>
      <c r="I2" s="36" t="s">
        <v>81</v>
      </c>
      <c r="J2" s="36" t="s">
        <v>82</v>
      </c>
      <c r="K2" s="39" t="n">
        <v>37440</v>
      </c>
      <c r="L2" s="39" t="n">
        <v>47840</v>
      </c>
      <c r="M2" s="39" t="n">
        <f aca="false">IF(AND(K2="",L2=""),"",IF(L2="",K2,IF(K2="",L2,ROUND(AVERAGE(K2:L2),0))))</f>
        <v>42640</v>
      </c>
      <c r="N2" s="36" t="s">
        <v>43</v>
      </c>
      <c r="O2" s="40" t="s">
        <v>83</v>
      </c>
      <c r="P2" s="36" t="n">
        <v>5</v>
      </c>
      <c r="Q2" s="38" t="s">
        <v>84</v>
      </c>
      <c r="R2" s="36" t="s">
        <v>85</v>
      </c>
      <c r="S2" s="36" t="s">
        <v>28</v>
      </c>
      <c r="T2" s="37"/>
      <c r="U2" s="37"/>
      <c r="V2" s="37"/>
      <c r="W2" s="37"/>
      <c r="X2" s="37"/>
      <c r="Y2" s="37"/>
      <c r="Z2" s="37"/>
      <c r="AA2" s="37"/>
      <c r="AB2" s="36" t="str">
        <f aca="true">IF(T2="","",TODAY()-T2)</f>
        <v/>
      </c>
      <c r="AC2" s="36" t="str">
        <f aca="true">IF(T2="","",IF(V2&lt;&gt;"","",IF(TODAY()-T2&gt;=7,"DUE","")))</f>
        <v/>
      </c>
      <c r="AD2" s="36" t="str">
        <f aca="true">IF(T2="","",IF(AND(V2="",TODAY()-T2&gt;=30),"GHOSTED",""))</f>
        <v/>
      </c>
      <c r="AE2" s="36"/>
      <c r="AF2" s="36" t="str">
        <f aca="false">IF(E2="","",LOWER(E2&amp;" | "&amp;F2&amp;" | "&amp;G2))</f>
        <v>feature solutions | bookkeeper – part-time (quickbooks online) | manchester, nh</v>
      </c>
      <c r="AG2" s="36" t="str">
        <f aca="false">IF(AF2="","",IF(COUNTIF($AF$2:$AF$1000,AF2)&gt;1,"DUP",""))</f>
        <v/>
      </c>
    </row>
    <row r="3" customFormat="false" ht="22.35" hidden="false" customHeight="false" outlineLevel="0" collapsed="false">
      <c r="A3" s="41" t="s">
        <v>86</v>
      </c>
      <c r="B3" s="42" t="n">
        <v>46318</v>
      </c>
      <c r="C3" s="42" t="n">
        <v>46301</v>
      </c>
      <c r="D3" s="41" t="s">
        <v>29</v>
      </c>
      <c r="E3" s="41" t="s">
        <v>87</v>
      </c>
      <c r="F3" s="43" t="s">
        <v>88</v>
      </c>
      <c r="G3" s="41" t="s">
        <v>79</v>
      </c>
      <c r="H3" s="41" t="s">
        <v>80</v>
      </c>
      <c r="I3" s="41" t="s">
        <v>89</v>
      </c>
      <c r="J3" s="41" t="s">
        <v>90</v>
      </c>
      <c r="K3" s="44" t="n">
        <v>52000</v>
      </c>
      <c r="L3" s="44" t="n">
        <v>62400</v>
      </c>
      <c r="M3" s="44" t="n">
        <f aca="false">IF(AND(K3="",L3=""),"",IF(L3="",K3,IF(K3="",L3,ROUND(AVERAGE(K3:L3),0))))</f>
        <v>57200</v>
      </c>
      <c r="N3" s="41" t="s">
        <v>43</v>
      </c>
      <c r="O3" s="45" t="s">
        <v>83</v>
      </c>
      <c r="P3" s="41" t="n">
        <v>5</v>
      </c>
      <c r="Q3" s="43" t="s">
        <v>91</v>
      </c>
      <c r="R3" s="41" t="s">
        <v>85</v>
      </c>
      <c r="S3" s="41" t="s">
        <v>28</v>
      </c>
      <c r="T3" s="42"/>
      <c r="U3" s="42"/>
      <c r="V3" s="42"/>
      <c r="W3" s="42"/>
      <c r="X3" s="42"/>
      <c r="Y3" s="42"/>
      <c r="Z3" s="42"/>
      <c r="AA3" s="42"/>
      <c r="AB3" s="41" t="str">
        <f aca="true">IF(T3="","",TODAY()-T3)</f>
        <v/>
      </c>
      <c r="AC3" s="41" t="str">
        <f aca="true">IF(T3="","",IF(V3&lt;&gt;"","",IF(TODAY()-T3&gt;=7,"DUE","")))</f>
        <v/>
      </c>
      <c r="AD3" s="41" t="str">
        <f aca="true">IF(T3="","",IF(AND(V3="",TODAY()-T3&gt;=30),"GHOSTED",""))</f>
        <v/>
      </c>
      <c r="AE3" s="41"/>
      <c r="AF3" s="41" t="str">
        <f aca="false">IF(E3="","",LOWER(E3&amp;" | "&amp;F3&amp;" | "&amp;G3))</f>
        <v>business cents | senior bookkeeper | manchester, nh</v>
      </c>
      <c r="AG3" s="41" t="str">
        <f aca="false">IF(AF3="","",IF(COUNTIF($AF$2:$AF$1000,AF3)&gt;1,"DUP",""))</f>
        <v/>
      </c>
    </row>
    <row r="4" customFormat="false" ht="22.35" hidden="false" customHeight="false" outlineLevel="0" collapsed="false">
      <c r="A4" s="36" t="s">
        <v>92</v>
      </c>
      <c r="B4" s="37" t="n">
        <v>46318</v>
      </c>
      <c r="C4" s="37" t="n">
        <v>46299</v>
      </c>
      <c r="D4" s="36" t="s">
        <v>35</v>
      </c>
      <c r="E4" s="36" t="s">
        <v>93</v>
      </c>
      <c r="F4" s="38" t="s">
        <v>94</v>
      </c>
      <c r="G4" s="36" t="s">
        <v>95</v>
      </c>
      <c r="H4" s="36" t="s">
        <v>80</v>
      </c>
      <c r="I4" s="36" t="s">
        <v>89</v>
      </c>
      <c r="J4" s="36" t="s">
        <v>96</v>
      </c>
      <c r="K4" s="39" t="n">
        <v>65000</v>
      </c>
      <c r="L4" s="39" t="n">
        <v>70000</v>
      </c>
      <c r="M4" s="39" t="n">
        <f aca="false">IF(AND(K4="",L4=""),"",IF(L4="",K4,IF(K4="",L4,ROUND(AVERAGE(K4:L4),0))))</f>
        <v>67500</v>
      </c>
      <c r="N4" s="36" t="s">
        <v>43</v>
      </c>
      <c r="O4" s="40" t="s">
        <v>83</v>
      </c>
      <c r="P4" s="36" t="n">
        <v>5</v>
      </c>
      <c r="Q4" s="38" t="s">
        <v>97</v>
      </c>
      <c r="R4" s="36" t="s">
        <v>85</v>
      </c>
      <c r="S4" s="36" t="s">
        <v>28</v>
      </c>
      <c r="T4" s="37"/>
      <c r="U4" s="37"/>
      <c r="V4" s="37"/>
      <c r="W4" s="37"/>
      <c r="X4" s="37"/>
      <c r="Y4" s="37"/>
      <c r="Z4" s="37"/>
      <c r="AA4" s="37"/>
      <c r="AB4" s="36" t="str">
        <f aca="true">IF(T4="","",TODAY()-T4)</f>
        <v/>
      </c>
      <c r="AC4" s="36" t="str">
        <f aca="true">IF(T4="","",IF(V4&lt;&gt;"","",IF(TODAY()-T4&gt;=7,"DUE","")))</f>
        <v/>
      </c>
      <c r="AD4" s="36" t="str">
        <f aca="true">IF(T4="","",IF(AND(V4="",TODAY()-T4&gt;=30),"GHOSTED",""))</f>
        <v/>
      </c>
      <c r="AE4" s="36"/>
      <c r="AF4" s="36" t="str">
        <f aca="false">IF(E4="","",LOWER(E4&amp;" | "&amp;F4&amp;" | "&amp;G4))</f>
        <v>3 lions logistics | bookkeeper/ staff accountant | salem, nh</v>
      </c>
      <c r="AG4" s="36" t="str">
        <f aca="false">IF(AF4="","",IF(COUNTIF($AF$2:$AF$1000,AF4)&gt;1,"DUP",""))</f>
        <v/>
      </c>
    </row>
    <row r="5" customFormat="false" ht="22.35" hidden="false" customHeight="false" outlineLevel="0" collapsed="false">
      <c r="A5" s="41" t="s">
        <v>98</v>
      </c>
      <c r="B5" s="42" t="n">
        <v>46318</v>
      </c>
      <c r="C5" s="42" t="n">
        <v>46293</v>
      </c>
      <c r="D5" s="41" t="s">
        <v>35</v>
      </c>
      <c r="E5" s="41" t="s">
        <v>93</v>
      </c>
      <c r="F5" s="43" t="s">
        <v>99</v>
      </c>
      <c r="G5" s="41" t="s">
        <v>95</v>
      </c>
      <c r="H5" s="41" t="s">
        <v>80</v>
      </c>
      <c r="I5" s="41" t="s">
        <v>89</v>
      </c>
      <c r="J5" s="41" t="s">
        <v>100</v>
      </c>
      <c r="K5" s="44" t="n">
        <v>58380</v>
      </c>
      <c r="L5" s="44" t="n">
        <v>70307</v>
      </c>
      <c r="M5" s="44" t="n">
        <f aca="false">IF(AND(K5="",L5=""),"",IF(L5="",K5,IF(K5="",L5,ROUND(AVERAGE(K5:L5),0))))</f>
        <v>64344</v>
      </c>
      <c r="N5" s="41" t="s">
        <v>43</v>
      </c>
      <c r="O5" s="45" t="s">
        <v>83</v>
      </c>
      <c r="P5" s="41" t="n">
        <v>5</v>
      </c>
      <c r="Q5" s="43" t="s">
        <v>101</v>
      </c>
      <c r="R5" s="41" t="s">
        <v>85</v>
      </c>
      <c r="S5" s="41" t="s">
        <v>28</v>
      </c>
      <c r="T5" s="42"/>
      <c r="U5" s="42"/>
      <c r="V5" s="42"/>
      <c r="W5" s="42"/>
      <c r="X5" s="42"/>
      <c r="Y5" s="42"/>
      <c r="Z5" s="42"/>
      <c r="AA5" s="42"/>
      <c r="AB5" s="41" t="str">
        <f aca="true">IF(T5="","",TODAY()-T5)</f>
        <v/>
      </c>
      <c r="AC5" s="41" t="str">
        <f aca="true">IF(T5="","",IF(V5&lt;&gt;"","",IF(TODAY()-T5&gt;=7,"DUE","")))</f>
        <v/>
      </c>
      <c r="AD5" s="41" t="str">
        <f aca="true">IF(T5="","",IF(AND(V5="",TODAY()-T5&gt;=30),"GHOSTED",""))</f>
        <v/>
      </c>
      <c r="AE5" s="41"/>
      <c r="AF5" s="41" t="str">
        <f aca="false">IF(E5="","",LOWER(E5&amp;" | "&amp;F5&amp;" | "&amp;G5))</f>
        <v>3 lions logistics | junior accountant | salem, nh</v>
      </c>
      <c r="AG5" s="41" t="str">
        <f aca="false">IF(AF5="","",IF(COUNTIF($AF$2:$AF$1000,AF5)&gt;1,"DUP",""))</f>
        <v/>
      </c>
    </row>
    <row r="6" customFormat="false" ht="22.35" hidden="false" customHeight="false" outlineLevel="0" collapsed="false">
      <c r="A6" s="36" t="s">
        <v>102</v>
      </c>
      <c r="B6" s="37" t="n">
        <v>46318</v>
      </c>
      <c r="C6" s="37" t="n">
        <v>46273</v>
      </c>
      <c r="D6" s="36" t="s">
        <v>31</v>
      </c>
      <c r="E6" s="36" t="s">
        <v>103</v>
      </c>
      <c r="F6" s="38" t="s">
        <v>104</v>
      </c>
      <c r="G6" s="36" t="s">
        <v>95</v>
      </c>
      <c r="H6" s="36" t="s">
        <v>80</v>
      </c>
      <c r="I6" s="36" t="s">
        <v>89</v>
      </c>
      <c r="J6" s="36" t="s">
        <v>105</v>
      </c>
      <c r="K6" s="39" t="n">
        <v>62400</v>
      </c>
      <c r="L6" s="39" t="n">
        <v>72800</v>
      </c>
      <c r="M6" s="39" t="n">
        <f aca="false">IF(AND(K6="",L6=""),"",IF(L6="",K6,IF(K6="",L6,ROUND(AVERAGE(K6:L6),0))))</f>
        <v>67600</v>
      </c>
      <c r="N6" s="36" t="s">
        <v>43</v>
      </c>
      <c r="O6" s="40" t="s">
        <v>83</v>
      </c>
      <c r="P6" s="36" t="n">
        <v>5</v>
      </c>
      <c r="Q6" s="38" t="s">
        <v>106</v>
      </c>
      <c r="R6" s="36" t="s">
        <v>85</v>
      </c>
      <c r="S6" s="36" t="s">
        <v>28</v>
      </c>
      <c r="T6" s="37"/>
      <c r="U6" s="37"/>
      <c r="V6" s="37"/>
      <c r="W6" s="37"/>
      <c r="X6" s="37"/>
      <c r="Y6" s="37"/>
      <c r="Z6" s="37"/>
      <c r="AA6" s="37"/>
      <c r="AB6" s="36" t="str">
        <f aca="true">IF(T6="","",TODAY()-T6)</f>
        <v/>
      </c>
      <c r="AC6" s="36" t="str">
        <f aca="true">IF(T6="","",IF(V6&lt;&gt;"","",IF(TODAY()-T6&gt;=7,"DUE","")))</f>
        <v/>
      </c>
      <c r="AD6" s="36" t="str">
        <f aca="true">IF(T6="","",IF(AND(V6="",TODAY()-T6&gt;=30),"GHOSTED",""))</f>
        <v/>
      </c>
      <c r="AE6" s="36"/>
      <c r="AF6" s="36" t="str">
        <f aca="false">IF(E6="","",LOWER(E6&amp;" | "&amp;F6&amp;" | "&amp;G6))</f>
        <v>scott electronics, inc. | staff accountant | salem, nh</v>
      </c>
      <c r="AG6" s="36" t="str">
        <f aca="false">IF(AF6="","",IF(COUNTIF($AF$2:$AF$1000,AF6)&gt;1,"DUP",""))</f>
        <v/>
      </c>
    </row>
    <row r="7" customFormat="false" ht="32.8" hidden="false" customHeight="false" outlineLevel="0" collapsed="false">
      <c r="A7" s="41" t="s">
        <v>107</v>
      </c>
      <c r="B7" s="42" t="n">
        <v>46318</v>
      </c>
      <c r="C7" s="42" t="n">
        <v>46203</v>
      </c>
      <c r="D7" s="41" t="s">
        <v>31</v>
      </c>
      <c r="E7" s="41" t="s">
        <v>108</v>
      </c>
      <c r="F7" s="43" t="s">
        <v>109</v>
      </c>
      <c r="G7" s="41" t="s">
        <v>95</v>
      </c>
      <c r="H7" s="41" t="s">
        <v>80</v>
      </c>
      <c r="I7" s="41" t="s">
        <v>89</v>
      </c>
      <c r="J7" s="41" t="s">
        <v>110</v>
      </c>
      <c r="K7" s="44" t="n">
        <v>50000</v>
      </c>
      <c r="L7" s="44" t="n">
        <v>60000</v>
      </c>
      <c r="M7" s="44" t="n">
        <f aca="false">IF(AND(K7="",L7=""),"",IF(L7="",K7,IF(K7="",L7,ROUND(AVERAGE(K7:L7),0))))</f>
        <v>55000</v>
      </c>
      <c r="N7" s="41" t="s">
        <v>43</v>
      </c>
      <c r="O7" s="45" t="s">
        <v>83</v>
      </c>
      <c r="P7" s="41" t="n">
        <v>3</v>
      </c>
      <c r="Q7" s="43" t="s">
        <v>111</v>
      </c>
      <c r="R7" s="41" t="s">
        <v>85</v>
      </c>
      <c r="S7" s="41" t="s">
        <v>28</v>
      </c>
      <c r="T7" s="42"/>
      <c r="U7" s="42"/>
      <c r="V7" s="42"/>
      <c r="W7" s="42"/>
      <c r="X7" s="42"/>
      <c r="Y7" s="42"/>
      <c r="Z7" s="42"/>
      <c r="AA7" s="42"/>
      <c r="AB7" s="41" t="str">
        <f aca="true">IF(T7="","",TODAY()-T7)</f>
        <v/>
      </c>
      <c r="AC7" s="41" t="str">
        <f aca="true">IF(T7="","",IF(V7&lt;&gt;"","",IF(TODAY()-T7&gt;=7,"DUE","")))</f>
        <v/>
      </c>
      <c r="AD7" s="41" t="str">
        <f aca="true">IF(T7="","",IF(AND(V7="",TODAY()-T7&gt;=30),"GHOSTED",""))</f>
        <v/>
      </c>
      <c r="AE7" s="41"/>
      <c r="AF7" s="41" t="str">
        <f aca="false">IF(E7="","",LOWER(E7&amp;" | "&amp;F7&amp;" | "&amp;G7))</f>
        <v>paul davis restoration | reconstruction job cost accountant | salem, nh</v>
      </c>
      <c r="AG7" s="41" t="str">
        <f aca="false">IF(AF7="","",IF(COUNTIF($AF$2:$AF$1000,AF7)&gt;1,"DUP",""))</f>
        <v/>
      </c>
    </row>
    <row r="8" customFormat="false" ht="32.8" hidden="false" customHeight="false" outlineLevel="0" collapsed="false">
      <c r="A8" s="36" t="s">
        <v>112</v>
      </c>
      <c r="B8" s="37" t="n">
        <v>46318</v>
      </c>
      <c r="C8" s="37" t="n">
        <v>46311</v>
      </c>
      <c r="D8" s="36" t="s">
        <v>31</v>
      </c>
      <c r="E8" s="36" t="s">
        <v>113</v>
      </c>
      <c r="F8" s="38" t="s">
        <v>114</v>
      </c>
      <c r="G8" s="36" t="s">
        <v>115</v>
      </c>
      <c r="H8" s="36" t="s">
        <v>80</v>
      </c>
      <c r="I8" s="36" t="s">
        <v>89</v>
      </c>
      <c r="J8" s="36" t="s">
        <v>116</v>
      </c>
      <c r="K8" s="39" t="n">
        <v>62000</v>
      </c>
      <c r="L8" s="39" t="n">
        <v>75000</v>
      </c>
      <c r="M8" s="39" t="n">
        <f aca="false">IF(AND(K8="",L8=""),"",IF(L8="",K8,IF(K8="",L8,ROUND(AVERAGE(K8:L8),0))))</f>
        <v>68500</v>
      </c>
      <c r="N8" s="36" t="s">
        <v>43</v>
      </c>
      <c r="O8" s="40" t="s">
        <v>83</v>
      </c>
      <c r="P8" s="36" t="n">
        <v>5</v>
      </c>
      <c r="Q8" s="38" t="s">
        <v>117</v>
      </c>
      <c r="R8" s="36" t="s">
        <v>85</v>
      </c>
      <c r="S8" s="36" t="s">
        <v>28</v>
      </c>
      <c r="T8" s="37"/>
      <c r="U8" s="37"/>
      <c r="V8" s="37"/>
      <c r="W8" s="37"/>
      <c r="X8" s="37"/>
      <c r="Y8" s="37"/>
      <c r="Z8" s="37"/>
      <c r="AA8" s="37"/>
      <c r="AB8" s="36" t="str">
        <f aca="true">IF(T8="","",TODAY()-T8)</f>
        <v/>
      </c>
      <c r="AC8" s="36" t="str">
        <f aca="true">IF(T8="","",IF(V8&lt;&gt;"","",IF(TODAY()-T8&gt;=7,"DUE","")))</f>
        <v/>
      </c>
      <c r="AD8" s="36" t="str">
        <f aca="true">IF(T8="","",IF(AND(V8="",TODAY()-T8&gt;=30),"GHOSTED",""))</f>
        <v/>
      </c>
      <c r="AE8" s="36"/>
      <c r="AF8" s="36" t="str">
        <f aca="false">IF(E8="","",LOWER(E8&amp;" | "&amp;F8&amp;" | "&amp;G8))</f>
        <v>goedecke flooring &amp; design | bookkeeper &amp; hr administrator | bedford, nh</v>
      </c>
      <c r="AG8" s="36" t="str">
        <f aca="false">IF(AF8="","",IF(COUNTIF($AF$2:$AF$1000,AF8)&gt;1,"DUP",""))</f>
        <v/>
      </c>
    </row>
    <row r="9" customFormat="false" ht="32.8" hidden="false" customHeight="false" outlineLevel="0" collapsed="false">
      <c r="A9" s="41" t="s">
        <v>118</v>
      </c>
      <c r="B9" s="42" t="n">
        <v>46318</v>
      </c>
      <c r="C9" s="42" t="n">
        <v>46295</v>
      </c>
      <c r="D9" s="41" t="s">
        <v>31</v>
      </c>
      <c r="E9" s="41" t="s">
        <v>119</v>
      </c>
      <c r="F9" s="43" t="s">
        <v>120</v>
      </c>
      <c r="G9" s="41" t="s">
        <v>121</v>
      </c>
      <c r="H9" s="41" t="s">
        <v>80</v>
      </c>
      <c r="I9" s="41" t="s">
        <v>89</v>
      </c>
      <c r="J9" s="41" t="s">
        <v>122</v>
      </c>
      <c r="K9" s="44" t="n">
        <v>41600</v>
      </c>
      <c r="L9" s="44" t="n">
        <v>60320</v>
      </c>
      <c r="M9" s="44" t="n">
        <f aca="false">IF(AND(K9="",L9=""),"",IF(L9="",K9,IF(K9="",L9,ROUND(AVERAGE(K9:L9),0))))</f>
        <v>50960</v>
      </c>
      <c r="N9" s="41" t="s">
        <v>43</v>
      </c>
      <c r="O9" s="45" t="s">
        <v>83</v>
      </c>
      <c r="P9" s="41" t="n">
        <v>3</v>
      </c>
      <c r="Q9" s="43" t="s">
        <v>123</v>
      </c>
      <c r="R9" s="41" t="s">
        <v>85</v>
      </c>
      <c r="S9" s="41" t="s">
        <v>28</v>
      </c>
      <c r="T9" s="42"/>
      <c r="U9" s="42"/>
      <c r="V9" s="42"/>
      <c r="W9" s="42"/>
      <c r="X9" s="42"/>
      <c r="Y9" s="42"/>
      <c r="Z9" s="42"/>
      <c r="AA9" s="42"/>
      <c r="AB9" s="41" t="str">
        <f aca="true">IF(T9="","",TODAY()-T9)</f>
        <v/>
      </c>
      <c r="AC9" s="41" t="str">
        <f aca="true">IF(T9="","",IF(V9&lt;&gt;"","",IF(TODAY()-T9&gt;=7,"DUE","")))</f>
        <v/>
      </c>
      <c r="AD9" s="41" t="str">
        <f aca="true">IF(T9="","",IF(AND(V9="",TODAY()-T9&gt;=30),"GHOSTED",""))</f>
        <v/>
      </c>
      <c r="AE9" s="41"/>
      <c r="AF9" s="41" t="str">
        <f aca="false">IF(E9="","",LOWER(E9&amp;" | "&amp;F9&amp;" | "&amp;G9))</f>
        <v>generator pro / spa guy | assistant bookkeeper / office assistant | nashua, nh</v>
      </c>
      <c r="AG9" s="41" t="str">
        <f aca="false">IF(AF9="","",IF(COUNTIF($AF$2:$AF$1000,AF9)&gt;1,"DUP",""))</f>
        <v/>
      </c>
    </row>
    <row r="10" customFormat="false" ht="32.8" hidden="false" customHeight="false" outlineLevel="0" collapsed="false">
      <c r="A10" s="36" t="s">
        <v>124</v>
      </c>
      <c r="B10" s="37" t="n">
        <v>46318</v>
      </c>
      <c r="C10" s="37" t="n">
        <v>46310</v>
      </c>
      <c r="D10" s="36" t="s">
        <v>29</v>
      </c>
      <c r="E10" s="36" t="s">
        <v>125</v>
      </c>
      <c r="F10" s="38" t="s">
        <v>126</v>
      </c>
      <c r="G10" s="36" t="s">
        <v>127</v>
      </c>
      <c r="H10" s="36" t="s">
        <v>80</v>
      </c>
      <c r="I10" s="36" t="s">
        <v>89</v>
      </c>
      <c r="J10" s="36" t="s">
        <v>128</v>
      </c>
      <c r="K10" s="39" t="n">
        <v>58000</v>
      </c>
      <c r="L10" s="39" t="n">
        <v>66000</v>
      </c>
      <c r="M10" s="39" t="n">
        <f aca="false">IF(AND(K10="",L10=""),"",IF(L10="",K10,IF(K10="",L10,ROUND(AVERAGE(K10:L10),0))))</f>
        <v>62000</v>
      </c>
      <c r="N10" s="36" t="s">
        <v>43</v>
      </c>
      <c r="O10" s="40" t="s">
        <v>83</v>
      </c>
      <c r="P10" s="36" t="n">
        <v>5</v>
      </c>
      <c r="Q10" s="38" t="s">
        <v>129</v>
      </c>
      <c r="R10" s="36" t="s">
        <v>85</v>
      </c>
      <c r="S10" s="36" t="s">
        <v>28</v>
      </c>
      <c r="T10" s="37"/>
      <c r="U10" s="37"/>
      <c r="V10" s="37"/>
      <c r="W10" s="37"/>
      <c r="X10" s="37"/>
      <c r="Y10" s="37"/>
      <c r="Z10" s="37"/>
      <c r="AA10" s="37"/>
      <c r="AB10" s="36" t="str">
        <f aca="true">IF(T10="","",TODAY()-T10)</f>
        <v/>
      </c>
      <c r="AC10" s="36" t="str">
        <f aca="true">IF(T10="","",IF(V10&lt;&gt;"","",IF(TODAY()-T10&gt;=7,"DUE","")))</f>
        <v/>
      </c>
      <c r="AD10" s="36" t="str">
        <f aca="true">IF(T10="","",IF(AND(V10="",TODAY()-T10&gt;=30),"GHOSTED",""))</f>
        <v/>
      </c>
      <c r="AE10" s="36"/>
      <c r="AF10" s="36" t="str">
        <f aca="false">IF(E10="","",LOWER(E10&amp;" | "&amp;F10&amp;" | "&amp;G10))</f>
        <v>stephens-marquis associates | accounting administrator | merrimack, nh</v>
      </c>
      <c r="AG10" s="36" t="str">
        <f aca="false">IF(AF10="","",IF(COUNTIF($AF$2:$AF$1000,AF10)&gt;1,"DUP",""))</f>
        <v/>
      </c>
    </row>
    <row r="11" customFormat="false" ht="32.8" hidden="false" customHeight="false" outlineLevel="0" collapsed="false">
      <c r="A11" s="41" t="s">
        <v>130</v>
      </c>
      <c r="B11" s="42" t="n">
        <v>46318</v>
      </c>
      <c r="C11" s="42" t="n">
        <v>46080</v>
      </c>
      <c r="D11" s="41" t="s">
        <v>31</v>
      </c>
      <c r="E11" s="41" t="s">
        <v>131</v>
      </c>
      <c r="F11" s="43" t="s">
        <v>132</v>
      </c>
      <c r="G11" s="41" t="s">
        <v>133</v>
      </c>
      <c r="H11" s="41" t="s">
        <v>80</v>
      </c>
      <c r="I11" s="41" t="s">
        <v>89</v>
      </c>
      <c r="J11" s="41" t="s">
        <v>134</v>
      </c>
      <c r="K11" s="44" t="n">
        <v>54930</v>
      </c>
      <c r="L11" s="44" t="n">
        <v>87662</v>
      </c>
      <c r="M11" s="44" t="n">
        <f aca="false">IF(AND(K11="",L11=""),"",IF(L11="",K11,IF(K11="",L11,ROUND(AVERAGE(K11:L11),0))))</f>
        <v>71296</v>
      </c>
      <c r="N11" s="41" t="s">
        <v>43</v>
      </c>
      <c r="O11" s="45" t="s">
        <v>83</v>
      </c>
      <c r="P11" s="41" t="n">
        <v>5</v>
      </c>
      <c r="Q11" s="43" t="s">
        <v>135</v>
      </c>
      <c r="R11" s="41" t="s">
        <v>85</v>
      </c>
      <c r="S11" s="41" t="s">
        <v>28</v>
      </c>
      <c r="T11" s="42"/>
      <c r="U11" s="42"/>
      <c r="V11" s="42"/>
      <c r="W11" s="42"/>
      <c r="X11" s="42"/>
      <c r="Y11" s="42"/>
      <c r="Z11" s="42"/>
      <c r="AA11" s="42"/>
      <c r="AB11" s="41" t="str">
        <f aca="true">IF(T11="","",TODAY()-T11)</f>
        <v/>
      </c>
      <c r="AC11" s="41" t="str">
        <f aca="true">IF(T11="","",IF(V11&lt;&gt;"","",IF(TODAY()-T11&gt;=7,"DUE","")))</f>
        <v/>
      </c>
      <c r="AD11" s="41" t="str">
        <f aca="true">IF(T11="","",IF(AND(V11="",TODAY()-T11&gt;=30),"GHOSTED",""))</f>
        <v/>
      </c>
      <c r="AE11" s="41"/>
      <c r="AF11" s="41" t="str">
        <f aca="false">IF(E11="","",LOWER(E11&amp;" | "&amp;F11&amp;" | "&amp;G11))</f>
        <v>jls mailing services | bookkeeper/accounts administrator | concord, nh</v>
      </c>
      <c r="AG11" s="41" t="str">
        <f aca="false">IF(AF11="","",IF(COUNTIF($AF$2:$AF$1000,AF11)&gt;1,"DUP",""))</f>
        <v/>
      </c>
    </row>
    <row r="12" customFormat="false" ht="32.8" hidden="false" customHeight="false" outlineLevel="0" collapsed="false">
      <c r="A12" s="36" t="s">
        <v>136</v>
      </c>
      <c r="B12" s="37" t="n">
        <v>46318</v>
      </c>
      <c r="C12" s="37" t="n">
        <v>46237</v>
      </c>
      <c r="D12" s="36" t="s">
        <v>31</v>
      </c>
      <c r="E12" s="36" t="s">
        <v>137</v>
      </c>
      <c r="F12" s="38" t="s">
        <v>138</v>
      </c>
      <c r="G12" s="36" t="s">
        <v>139</v>
      </c>
      <c r="H12" s="36" t="s">
        <v>80</v>
      </c>
      <c r="I12" s="36" t="s">
        <v>89</v>
      </c>
      <c r="J12" s="36" t="s">
        <v>140</v>
      </c>
      <c r="K12" s="39"/>
      <c r="L12" s="39"/>
      <c r="M12" s="39" t="str">
        <f aca="false">IF(AND(K12="",L12=""),"",IF(L12="",K12,IF(K12="",L12,ROUND(AVERAGE(K12:L12),0))))</f>
        <v/>
      </c>
      <c r="N12" s="36" t="s">
        <v>43</v>
      </c>
      <c r="O12" s="40" t="s">
        <v>83</v>
      </c>
      <c r="P12" s="36" t="n">
        <v>3</v>
      </c>
      <c r="Q12" s="38" t="s">
        <v>141</v>
      </c>
      <c r="R12" s="36" t="s">
        <v>85</v>
      </c>
      <c r="S12" s="36" t="s">
        <v>28</v>
      </c>
      <c r="T12" s="37"/>
      <c r="U12" s="37"/>
      <c r="V12" s="37"/>
      <c r="W12" s="37"/>
      <c r="X12" s="37"/>
      <c r="Y12" s="37"/>
      <c r="Z12" s="37"/>
      <c r="AA12" s="37"/>
      <c r="AB12" s="36" t="str">
        <f aca="true">IF(T12="","",TODAY()-T12)</f>
        <v/>
      </c>
      <c r="AC12" s="36" t="str">
        <f aca="true">IF(T12="","",IF(V12&lt;&gt;"","",IF(TODAY()-T12&gt;=7,"DUE","")))</f>
        <v/>
      </c>
      <c r="AD12" s="36" t="str">
        <f aca="true">IF(T12="","",IF(AND(V12="",TODAY()-T12&gt;=30),"GHOSTED",""))</f>
        <v/>
      </c>
      <c r="AE12" s="36"/>
      <c r="AF12" s="36" t="str">
        <f aca="false">IF(E12="","",LOWER(E12&amp;" | "&amp;F12&amp;" | "&amp;G12))</f>
        <v>ford of londonderry | accounting/administration | londonderry, nh</v>
      </c>
      <c r="AG12" s="36" t="str">
        <f aca="false">IF(AF12="","",IF(COUNTIF($AF$2:$AF$1000,AF12)&gt;1,"DUP",""))</f>
        <v/>
      </c>
    </row>
    <row r="13" customFormat="false" ht="32.8" hidden="false" customHeight="false" outlineLevel="0" collapsed="false">
      <c r="A13" s="41" t="s">
        <v>142</v>
      </c>
      <c r="B13" s="42" t="n">
        <v>46318</v>
      </c>
      <c r="C13" s="42" t="n">
        <v>46227</v>
      </c>
      <c r="D13" s="41" t="s">
        <v>33</v>
      </c>
      <c r="E13" s="41" t="s">
        <v>143</v>
      </c>
      <c r="F13" s="43" t="s">
        <v>144</v>
      </c>
      <c r="G13" s="41" t="s">
        <v>145</v>
      </c>
      <c r="H13" s="41" t="s">
        <v>80</v>
      </c>
      <c r="I13" s="41" t="s">
        <v>89</v>
      </c>
      <c r="J13" s="41" t="s">
        <v>146</v>
      </c>
      <c r="K13" s="44" t="n">
        <v>60000</v>
      </c>
      <c r="L13" s="44" t="n">
        <v>70000</v>
      </c>
      <c r="M13" s="44" t="n">
        <f aca="false">IF(AND(K13="",L13=""),"",IF(L13="",K13,IF(K13="",L13,ROUND(AVERAGE(K13:L13),0))))</f>
        <v>65000</v>
      </c>
      <c r="N13" s="41" t="s">
        <v>43</v>
      </c>
      <c r="O13" s="45" t="s">
        <v>83</v>
      </c>
      <c r="P13" s="41" t="n">
        <v>5</v>
      </c>
      <c r="Q13" s="43" t="s">
        <v>147</v>
      </c>
      <c r="R13" s="41" t="s">
        <v>85</v>
      </c>
      <c r="S13" s="41" t="s">
        <v>28</v>
      </c>
      <c r="T13" s="42"/>
      <c r="U13" s="42"/>
      <c r="V13" s="42"/>
      <c r="W13" s="42"/>
      <c r="X13" s="42"/>
      <c r="Y13" s="42"/>
      <c r="Z13" s="42"/>
      <c r="AA13" s="42"/>
      <c r="AB13" s="41" t="str">
        <f aca="true">IF(T13="","",TODAY()-T13)</f>
        <v/>
      </c>
      <c r="AC13" s="41" t="str">
        <f aca="true">IF(T13="","",IF(V13&lt;&gt;"","",IF(TODAY()-T13&gt;=7,"DUE","")))</f>
        <v/>
      </c>
      <c r="AD13" s="41" t="str">
        <f aca="true">IF(T13="","",IF(AND(V13="",TODAY()-T13&gt;=30),"GHOSTED",""))</f>
        <v/>
      </c>
      <c r="AE13" s="41"/>
      <c r="AF13" s="41" t="str">
        <f aca="false">IF(E13="","",LOWER(E13&amp;" | "&amp;F13&amp;" | "&amp;G13))</f>
        <v>pine haven boys center | financial operations specialist | suncook, nh</v>
      </c>
      <c r="AG13" s="41" t="str">
        <f aca="false">IF(AF13="","",IF(COUNTIF($AF$2:$AF$1000,AF13)&gt;1,"DUP",""))</f>
        <v/>
      </c>
    </row>
    <row r="14" customFormat="false" ht="32.8" hidden="false" customHeight="false" outlineLevel="0" collapsed="false">
      <c r="A14" s="36" t="s">
        <v>148</v>
      </c>
      <c r="B14" s="37" t="n">
        <v>46318</v>
      </c>
      <c r="C14" s="37" t="n">
        <v>46302</v>
      </c>
      <c r="D14" s="36" t="s">
        <v>31</v>
      </c>
      <c r="E14" s="36" t="s">
        <v>149</v>
      </c>
      <c r="F14" s="38" t="s">
        <v>150</v>
      </c>
      <c r="G14" s="36" t="s">
        <v>79</v>
      </c>
      <c r="H14" s="36" t="s">
        <v>80</v>
      </c>
      <c r="I14" s="36" t="s">
        <v>89</v>
      </c>
      <c r="J14" s="36" t="s">
        <v>151</v>
      </c>
      <c r="K14" s="39" t="n">
        <v>45760</v>
      </c>
      <c r="L14" s="39" t="n">
        <v>52000</v>
      </c>
      <c r="M14" s="39" t="n">
        <f aca="false">IF(AND(K14="",L14=""),"",IF(L14="",K14,IF(K14="",L14,ROUND(AVERAGE(K14:L14),0))))</f>
        <v>48880</v>
      </c>
      <c r="N14" s="36" t="s">
        <v>43</v>
      </c>
      <c r="O14" s="40" t="s">
        <v>83</v>
      </c>
      <c r="P14" s="36" t="n">
        <v>5</v>
      </c>
      <c r="Q14" s="38" t="s">
        <v>152</v>
      </c>
      <c r="R14" s="36" t="s">
        <v>85</v>
      </c>
      <c r="S14" s="36" t="s">
        <v>28</v>
      </c>
      <c r="T14" s="37"/>
      <c r="U14" s="37"/>
      <c r="V14" s="37"/>
      <c r="W14" s="37"/>
      <c r="X14" s="37"/>
      <c r="Y14" s="37"/>
      <c r="Z14" s="37"/>
      <c r="AA14" s="37"/>
      <c r="AB14" s="36" t="str">
        <f aca="true">IF(T14="","",TODAY()-T14)</f>
        <v/>
      </c>
      <c r="AC14" s="36" t="str">
        <f aca="true">IF(T14="","",IF(V14&lt;&gt;"","",IF(TODAY()-T14&gt;=7,"DUE","")))</f>
        <v/>
      </c>
      <c r="AD14" s="36" t="str">
        <f aca="true">IF(T14="","",IF(AND(V14="",TODAY()-T14&gt;=30),"GHOSTED",""))</f>
        <v/>
      </c>
      <c r="AE14" s="36"/>
      <c r="AF14" s="36" t="str">
        <f aca="false">IF(E14="","",LOWER(E14&amp;" | "&amp;F14&amp;" | "&amp;G14))</f>
        <v>spectrum marketing companies | accounting associate | manchester, nh</v>
      </c>
      <c r="AG14" s="36" t="str">
        <f aca="false">IF(AF14="","",IF(COUNTIF($AF$2:$AF$1000,AF14)&gt;1,"DUP",""))</f>
        <v/>
      </c>
    </row>
    <row r="15" customFormat="false" ht="32.8" hidden="false" customHeight="false" outlineLevel="0" collapsed="false">
      <c r="A15" s="41" t="s">
        <v>153</v>
      </c>
      <c r="B15" s="42" t="n">
        <v>46318</v>
      </c>
      <c r="C15" s="42" t="n">
        <v>46300</v>
      </c>
      <c r="D15" s="41" t="s">
        <v>34</v>
      </c>
      <c r="E15" s="41" t="s">
        <v>154</v>
      </c>
      <c r="F15" s="43" t="s">
        <v>155</v>
      </c>
      <c r="G15" s="41" t="s">
        <v>79</v>
      </c>
      <c r="H15" s="41" t="s">
        <v>80</v>
      </c>
      <c r="I15" s="41" t="s">
        <v>89</v>
      </c>
      <c r="J15" s="41" t="s">
        <v>156</v>
      </c>
      <c r="K15" s="44" t="n">
        <v>75000</v>
      </c>
      <c r="L15" s="44" t="n">
        <v>90000</v>
      </c>
      <c r="M15" s="44" t="n">
        <f aca="false">IF(AND(K15="",L15=""),"",IF(L15="",K15,IF(K15="",L15,ROUND(AVERAGE(K15:L15),0))))</f>
        <v>82500</v>
      </c>
      <c r="N15" s="41" t="s">
        <v>43</v>
      </c>
      <c r="O15" s="45" t="s">
        <v>83</v>
      </c>
      <c r="P15" s="41" t="n">
        <v>5</v>
      </c>
      <c r="Q15" s="43" t="s">
        <v>157</v>
      </c>
      <c r="R15" s="41" t="s">
        <v>85</v>
      </c>
      <c r="S15" s="41" t="s">
        <v>28</v>
      </c>
      <c r="T15" s="42"/>
      <c r="U15" s="42"/>
      <c r="V15" s="42"/>
      <c r="W15" s="42"/>
      <c r="X15" s="42"/>
      <c r="Y15" s="42"/>
      <c r="Z15" s="42"/>
      <c r="AA15" s="42"/>
      <c r="AB15" s="41" t="str">
        <f aca="true">IF(T15="","",TODAY()-T15)</f>
        <v/>
      </c>
      <c r="AC15" s="41" t="str">
        <f aca="true">IF(T15="","",IF(V15&lt;&gt;"","",IF(TODAY()-T15&gt;=7,"DUE","")))</f>
        <v/>
      </c>
      <c r="AD15" s="41" t="str">
        <f aca="true">IF(T15="","",IF(AND(V15="",TODAY()-T15&gt;=30),"GHOSTED",""))</f>
        <v/>
      </c>
      <c r="AE15" s="41"/>
      <c r="AF15" s="41" t="str">
        <f aca="false">IF(E15="","",LOWER(E15&amp;" | "&amp;F15&amp;" | "&amp;G15))</f>
        <v>buchanan technologies | sr. financial planning &amp; analysis analyst | manchester, nh</v>
      </c>
      <c r="AG15" s="41" t="str">
        <f aca="false">IF(AF15="","",IF(COUNTIF($AF$2:$AF$1000,AF15)&gt;1,"DUP",""))</f>
        <v/>
      </c>
    </row>
    <row r="16" customFormat="false" ht="32.8" hidden="false" customHeight="false" outlineLevel="0" collapsed="false">
      <c r="A16" s="36" t="s">
        <v>158</v>
      </c>
      <c r="B16" s="37" t="n">
        <v>46318</v>
      </c>
      <c r="C16" s="37" t="n">
        <v>46317</v>
      </c>
      <c r="D16" s="36" t="s">
        <v>33</v>
      </c>
      <c r="E16" s="36" t="s">
        <v>159</v>
      </c>
      <c r="F16" s="38" t="s">
        <v>160</v>
      </c>
      <c r="G16" s="36" t="s">
        <v>79</v>
      </c>
      <c r="H16" s="36" t="s">
        <v>80</v>
      </c>
      <c r="I16" s="36" t="s">
        <v>81</v>
      </c>
      <c r="J16" s="36" t="s">
        <v>161</v>
      </c>
      <c r="K16" s="39" t="n">
        <v>83200</v>
      </c>
      <c r="L16" s="39"/>
      <c r="M16" s="39" t="n">
        <f aca="false">IF(AND(K16="",L16=""),"",IF(L16="",K16,IF(K16="",L16,ROUND(AVERAGE(K16:L16),0))))</f>
        <v>83200</v>
      </c>
      <c r="N16" s="36" t="s">
        <v>43</v>
      </c>
      <c r="O16" s="40" t="s">
        <v>83</v>
      </c>
      <c r="P16" s="36" t="n">
        <v>3</v>
      </c>
      <c r="Q16" s="38" t="s">
        <v>162</v>
      </c>
      <c r="R16" s="36" t="s">
        <v>85</v>
      </c>
      <c r="S16" s="36" t="s">
        <v>28</v>
      </c>
      <c r="T16" s="37"/>
      <c r="U16" s="37"/>
      <c r="V16" s="37"/>
      <c r="W16" s="37"/>
      <c r="X16" s="37"/>
      <c r="Y16" s="37"/>
      <c r="Z16" s="37"/>
      <c r="AA16" s="37"/>
      <c r="AB16" s="36" t="str">
        <f aca="true">IF(T16="","",TODAY()-T16)</f>
        <v/>
      </c>
      <c r="AC16" s="36" t="str">
        <f aca="true">IF(T16="","",IF(V16&lt;&gt;"","",IF(TODAY()-T16&gt;=7,"DUE","")))</f>
        <v/>
      </c>
      <c r="AD16" s="36" t="str">
        <f aca="true">IF(T16="","",IF(AND(V16="",TODAY()-T16&gt;=30),"GHOSTED",""))</f>
        <v/>
      </c>
      <c r="AE16" s="36"/>
      <c r="AF16" s="36" t="str">
        <f aca="false">IF(E16="","",LOWER(E16&amp;" | "&amp;F16&amp;" | "&amp;G16))</f>
        <v>breathe new hampshire | accounting manager | manchester, nh</v>
      </c>
      <c r="AG16" s="36" t="str">
        <f aca="false">IF(AF16="","",IF(COUNTIF($AF$2:$AF$1000,AF16)&gt;1,"DUP",""))</f>
        <v/>
      </c>
    </row>
    <row r="17" customFormat="false" ht="22.35" hidden="false" customHeight="false" outlineLevel="0" collapsed="false">
      <c r="A17" s="41" t="s">
        <v>163</v>
      </c>
      <c r="B17" s="42" t="n">
        <v>46318</v>
      </c>
      <c r="C17" s="42" t="n">
        <v>46308</v>
      </c>
      <c r="D17" s="41" t="s">
        <v>32</v>
      </c>
      <c r="E17" s="41" t="s">
        <v>164</v>
      </c>
      <c r="F17" s="43" t="s">
        <v>165</v>
      </c>
      <c r="G17" s="41" t="s">
        <v>166</v>
      </c>
      <c r="H17" s="41" t="s">
        <v>80</v>
      </c>
      <c r="I17" s="41" t="s">
        <v>89</v>
      </c>
      <c r="J17" s="41" t="s">
        <v>167</v>
      </c>
      <c r="K17" s="44" t="n">
        <v>60424</v>
      </c>
      <c r="L17" s="44" t="n">
        <v>75421</v>
      </c>
      <c r="M17" s="44" t="n">
        <f aca="false">IF(AND(K17="",L17=""),"",IF(L17="",K17,IF(K17="",L17,ROUND(AVERAGE(K17:L17),0))))</f>
        <v>67923</v>
      </c>
      <c r="N17" s="41" t="s">
        <v>43</v>
      </c>
      <c r="O17" s="45" t="s">
        <v>83</v>
      </c>
      <c r="P17" s="41" t="n">
        <v>3</v>
      </c>
      <c r="Q17" s="43" t="s">
        <v>168</v>
      </c>
      <c r="R17" s="41" t="s">
        <v>85</v>
      </c>
      <c r="S17" s="41" t="s">
        <v>28</v>
      </c>
      <c r="T17" s="42"/>
      <c r="U17" s="42"/>
      <c r="V17" s="42"/>
      <c r="W17" s="42"/>
      <c r="X17" s="42"/>
      <c r="Y17" s="42"/>
      <c r="Z17" s="42"/>
      <c r="AA17" s="42"/>
      <c r="AB17" s="41" t="str">
        <f aca="true">IF(T17="","",TODAY()-T17)</f>
        <v/>
      </c>
      <c r="AC17" s="41" t="str">
        <f aca="true">IF(T17="","",IF(V17&lt;&gt;"","",IF(TODAY()-T17&gt;=7,"DUE","")))</f>
        <v/>
      </c>
      <c r="AD17" s="41" t="str">
        <f aca="true">IF(T17="","",IF(AND(V17="",TODAY()-T17&gt;=30),"GHOSTED",""))</f>
        <v/>
      </c>
      <c r="AE17" s="41"/>
      <c r="AF17" s="41" t="str">
        <f aca="false">IF(E17="","",LOWER(E17&amp;" | "&amp;F17&amp;" | "&amp;G17))</f>
        <v>town of sanbornton, nh | finance coordinator | sanbornton, nh</v>
      </c>
      <c r="AG17" s="41" t="str">
        <f aca="false">IF(AF17="","",IF(COUNTIF($AF$2:$AF$1000,AF17)&gt;1,"DUP",""))</f>
        <v/>
      </c>
    </row>
    <row r="18" customFormat="false" ht="32.8" hidden="false" customHeight="false" outlineLevel="0" collapsed="false">
      <c r="A18" s="36" t="s">
        <v>169</v>
      </c>
      <c r="B18" s="37" t="n">
        <v>46318</v>
      </c>
      <c r="C18" s="37" t="n">
        <v>46232</v>
      </c>
      <c r="D18" s="36" t="s">
        <v>32</v>
      </c>
      <c r="E18" s="36" t="s">
        <v>170</v>
      </c>
      <c r="F18" s="38" t="s">
        <v>171</v>
      </c>
      <c r="G18" s="36" t="s">
        <v>115</v>
      </c>
      <c r="H18" s="36" t="s">
        <v>80</v>
      </c>
      <c r="I18" s="36" t="s">
        <v>89</v>
      </c>
      <c r="J18" s="36" t="s">
        <v>172</v>
      </c>
      <c r="K18" s="39" t="n">
        <v>64000</v>
      </c>
      <c r="L18" s="39" t="n">
        <v>78000</v>
      </c>
      <c r="M18" s="39" t="n">
        <f aca="false">IF(AND(K18="",L18=""),"",IF(L18="",K18,IF(K18="",L18,ROUND(AVERAGE(K18:L18),0))))</f>
        <v>71000</v>
      </c>
      <c r="N18" s="36" t="s">
        <v>43</v>
      </c>
      <c r="O18" s="40" t="s">
        <v>83</v>
      </c>
      <c r="P18" s="36" t="n">
        <v>3</v>
      </c>
      <c r="Q18" s="38" t="s">
        <v>173</v>
      </c>
      <c r="R18" s="36" t="s">
        <v>85</v>
      </c>
      <c r="S18" s="36" t="s">
        <v>28</v>
      </c>
      <c r="T18" s="37"/>
      <c r="U18" s="37"/>
      <c r="V18" s="37"/>
      <c r="W18" s="37"/>
      <c r="X18" s="37"/>
      <c r="Y18" s="37"/>
      <c r="Z18" s="37"/>
      <c r="AA18" s="37"/>
      <c r="AB18" s="36" t="str">
        <f aca="true">IF(T18="","",TODAY()-T18)</f>
        <v/>
      </c>
      <c r="AC18" s="36" t="str">
        <f aca="true">IF(T18="","",IF(V18&lt;&gt;"","",IF(TODAY()-T18&gt;=7,"DUE","")))</f>
        <v/>
      </c>
      <c r="AD18" s="36" t="str">
        <f aca="true">IF(T18="","",IF(AND(V18="",TODAY()-T18&gt;=30),"GHOSTED",""))</f>
        <v/>
      </c>
      <c r="AE18" s="36"/>
      <c r="AF18" s="36" t="str">
        <f aca="false">IF(E18="","",LOWER(E18&amp;" | "&amp;F18&amp;" | "&amp;G18))</f>
        <v>new hampshire housing | senior accountant, section 8 &amp; federal reporting | bedford, nh</v>
      </c>
      <c r="AG18" s="36" t="str">
        <f aca="false">IF(AF18="","",IF(COUNTIF($AF$2:$AF$1000,AF18)&gt;1,"DUP",""))</f>
        <v/>
      </c>
    </row>
    <row r="19" customFormat="false" ht="22.35" hidden="false" customHeight="false" outlineLevel="0" collapsed="false">
      <c r="A19" s="41" t="s">
        <v>174</v>
      </c>
      <c r="B19" s="42" t="n">
        <v>46318</v>
      </c>
      <c r="C19" s="42" t="n">
        <v>46318</v>
      </c>
      <c r="D19" s="41" t="s">
        <v>31</v>
      </c>
      <c r="E19" s="41" t="s">
        <v>175</v>
      </c>
      <c r="F19" s="43" t="s">
        <v>176</v>
      </c>
      <c r="G19" s="41" t="s">
        <v>115</v>
      </c>
      <c r="H19" s="41" t="s">
        <v>80</v>
      </c>
      <c r="I19" s="41" t="s">
        <v>89</v>
      </c>
      <c r="J19" s="41" t="s">
        <v>177</v>
      </c>
      <c r="K19" s="44" t="n">
        <v>80000</v>
      </c>
      <c r="L19" s="44" t="n">
        <v>90000</v>
      </c>
      <c r="M19" s="44" t="n">
        <f aca="false">IF(AND(K19="",L19=""),"",IF(L19="",K19,IF(K19="",L19,ROUND(AVERAGE(K19:L19),0))))</f>
        <v>85000</v>
      </c>
      <c r="N19" s="41" t="s">
        <v>43</v>
      </c>
      <c r="O19" s="45" t="s">
        <v>83</v>
      </c>
      <c r="P19" s="41" t="n">
        <v>3</v>
      </c>
      <c r="Q19" s="43" t="s">
        <v>178</v>
      </c>
      <c r="R19" s="41" t="s">
        <v>85</v>
      </c>
      <c r="S19" s="41" t="s">
        <v>28</v>
      </c>
      <c r="T19" s="42"/>
      <c r="U19" s="42"/>
      <c r="V19" s="42"/>
      <c r="W19" s="42"/>
      <c r="X19" s="42"/>
      <c r="Y19" s="42"/>
      <c r="Z19" s="42"/>
      <c r="AA19" s="42"/>
      <c r="AB19" s="41" t="str">
        <f aca="true">IF(T19="","",TODAY()-T19)</f>
        <v/>
      </c>
      <c r="AC19" s="41" t="str">
        <f aca="true">IF(T19="","",IF(V19&lt;&gt;"","",IF(TODAY()-T19&gt;=7,"DUE","")))</f>
        <v/>
      </c>
      <c r="AD19" s="41" t="str">
        <f aca="true">IF(T19="","",IF(AND(V19="",TODAY()-T19&gt;=30),"GHOSTED",""))</f>
        <v/>
      </c>
      <c r="AE19" s="41"/>
      <c r="AF19" s="41" t="str">
        <f aca="false">IF(E19="","",LOWER(E19&amp;" | "&amp;F19&amp;" | "&amp;G19))</f>
        <v>associa | senior accountant | bedford, nh</v>
      </c>
      <c r="AG19" s="41" t="str">
        <f aca="false">IF(AF19="","",IF(COUNTIF($AF$2:$AF$1000,AF19)&gt;1,"DUP",""))</f>
        <v/>
      </c>
    </row>
    <row r="20" customFormat="false" ht="32.8" hidden="false" customHeight="false" outlineLevel="0" collapsed="false">
      <c r="A20" s="36" t="s">
        <v>179</v>
      </c>
      <c r="B20" s="37" t="n">
        <v>46318</v>
      </c>
      <c r="C20" s="37" t="n">
        <v>46318</v>
      </c>
      <c r="D20" s="36" t="s">
        <v>31</v>
      </c>
      <c r="E20" s="36" t="s">
        <v>175</v>
      </c>
      <c r="F20" s="38" t="s">
        <v>180</v>
      </c>
      <c r="G20" s="36" t="s">
        <v>115</v>
      </c>
      <c r="H20" s="36" t="s">
        <v>80</v>
      </c>
      <c r="I20" s="36" t="s">
        <v>89</v>
      </c>
      <c r="J20" s="36" t="s">
        <v>181</v>
      </c>
      <c r="K20" s="39" t="n">
        <v>41600</v>
      </c>
      <c r="L20" s="39" t="n">
        <v>52000</v>
      </c>
      <c r="M20" s="39" t="n">
        <f aca="false">IF(AND(K20="",L20=""),"",IF(L20="",K20,IF(K20="",L20,ROUND(AVERAGE(K20:L20),0))))</f>
        <v>46800</v>
      </c>
      <c r="N20" s="36" t="s">
        <v>43</v>
      </c>
      <c r="O20" s="40" t="s">
        <v>83</v>
      </c>
      <c r="P20" s="36" t="n">
        <v>5</v>
      </c>
      <c r="Q20" s="38" t="s">
        <v>182</v>
      </c>
      <c r="R20" s="36" t="s">
        <v>85</v>
      </c>
      <c r="S20" s="36" t="s">
        <v>28</v>
      </c>
      <c r="T20" s="37"/>
      <c r="U20" s="37"/>
      <c r="V20" s="37"/>
      <c r="W20" s="37"/>
      <c r="X20" s="37"/>
      <c r="Y20" s="37"/>
      <c r="Z20" s="37"/>
      <c r="AA20" s="37"/>
      <c r="AB20" s="36" t="str">
        <f aca="true">IF(T20="","",TODAY()-T20)</f>
        <v/>
      </c>
      <c r="AC20" s="36" t="str">
        <f aca="true">IF(T20="","",IF(V20&lt;&gt;"","",IF(TODAY()-T20&gt;=7,"DUE","")))</f>
        <v/>
      </c>
      <c r="AD20" s="36" t="str">
        <f aca="true">IF(T20="","",IF(AND(V20="",TODAY()-T20&gt;=30),"GHOSTED",""))</f>
        <v/>
      </c>
      <c r="AE20" s="36"/>
      <c r="AF20" s="36" t="str">
        <f aca="false">IF(E20="","",LOWER(E20&amp;" | "&amp;F20&amp;" | "&amp;G20))</f>
        <v>associa | client accounting specialist / coordinator | bedford, nh</v>
      </c>
      <c r="AG20" s="36" t="str">
        <f aca="false">IF(AF20="","",IF(COUNTIF($AF$2:$AF$1000,AF20)&gt;1,"DUP",""))</f>
        <v/>
      </c>
    </row>
    <row r="21" customFormat="false" ht="32.8" hidden="false" customHeight="false" outlineLevel="0" collapsed="false">
      <c r="A21" s="41" t="s">
        <v>183</v>
      </c>
      <c r="B21" s="42" t="n">
        <v>46318</v>
      </c>
      <c r="C21" s="42" t="n">
        <v>46318</v>
      </c>
      <c r="D21" s="41" t="s">
        <v>31</v>
      </c>
      <c r="E21" s="41" t="s">
        <v>184</v>
      </c>
      <c r="F21" s="43" t="s">
        <v>185</v>
      </c>
      <c r="G21" s="41" t="s">
        <v>121</v>
      </c>
      <c r="H21" s="41" t="s">
        <v>80</v>
      </c>
      <c r="I21" s="41" t="s">
        <v>140</v>
      </c>
      <c r="J21" s="41" t="s">
        <v>140</v>
      </c>
      <c r="K21" s="44"/>
      <c r="L21" s="44"/>
      <c r="M21" s="44" t="str">
        <f aca="false">IF(AND(K21="",L21=""),"",IF(L21="",K21,IF(K21="",L21,ROUND(AVERAGE(K21:L21),0))))</f>
        <v/>
      </c>
      <c r="N21" s="41" t="s">
        <v>43</v>
      </c>
      <c r="O21" s="45" t="s">
        <v>83</v>
      </c>
      <c r="P21" s="41" t="n">
        <v>3</v>
      </c>
      <c r="Q21" s="43" t="s">
        <v>186</v>
      </c>
      <c r="R21" s="41" t="s">
        <v>85</v>
      </c>
      <c r="S21" s="41" t="s">
        <v>28</v>
      </c>
      <c r="T21" s="42"/>
      <c r="U21" s="42"/>
      <c r="V21" s="42"/>
      <c r="W21" s="42"/>
      <c r="X21" s="42"/>
      <c r="Y21" s="42"/>
      <c r="Z21" s="42"/>
      <c r="AA21" s="42"/>
      <c r="AB21" s="41" t="str">
        <f aca="true">IF(T21="","",TODAY()-T21)</f>
        <v/>
      </c>
      <c r="AC21" s="41" t="str">
        <f aca="true">IF(T21="","",IF(V21&lt;&gt;"","",IF(TODAY()-T21&gt;=7,"DUE","")))</f>
        <v/>
      </c>
      <c r="AD21" s="41" t="str">
        <f aca="true">IF(T21="","",IF(AND(V21="",TODAY()-T21&gt;=30),"GHOSTED",""))</f>
        <v/>
      </c>
      <c r="AE21" s="41"/>
      <c r="AF21" s="41" t="str">
        <f aca="false">IF(E21="","",LOWER(E21&amp;" | "&amp;F21&amp;" | "&amp;G21))</f>
        <v>wakefield thermal solutions | accounts payable coordinator | nashua, nh</v>
      </c>
      <c r="AG21" s="41" t="str">
        <f aca="false">IF(AF21="","",IF(COUNTIF($AF$2:$AF$1000,AF21)&gt;1,"DUP",""))</f>
        <v/>
      </c>
    </row>
    <row r="22" customFormat="false" ht="22.35" hidden="false" customHeight="false" outlineLevel="0" collapsed="false">
      <c r="A22" s="36" t="s">
        <v>187</v>
      </c>
      <c r="B22" s="37" t="n">
        <v>46318</v>
      </c>
      <c r="C22" s="37" t="n">
        <v>46301</v>
      </c>
      <c r="D22" s="36" t="s">
        <v>29</v>
      </c>
      <c r="E22" s="36" t="s">
        <v>87</v>
      </c>
      <c r="F22" s="38" t="s">
        <v>188</v>
      </c>
      <c r="G22" s="36" t="s">
        <v>79</v>
      </c>
      <c r="H22" s="36" t="s">
        <v>80</v>
      </c>
      <c r="I22" s="36" t="s">
        <v>89</v>
      </c>
      <c r="J22" s="36" t="s">
        <v>189</v>
      </c>
      <c r="K22" s="39" t="n">
        <v>53310</v>
      </c>
      <c r="L22" s="39" t="n">
        <v>64480</v>
      </c>
      <c r="M22" s="39" t="n">
        <f aca="false">IF(AND(K22="",L22=""),"",IF(L22="",K22,IF(K22="",L22,ROUND(AVERAGE(K22:L22),0))))</f>
        <v>58895</v>
      </c>
      <c r="N22" s="36" t="s">
        <v>43</v>
      </c>
      <c r="O22" s="40" t="s">
        <v>83</v>
      </c>
      <c r="P22" s="36" t="n">
        <v>3</v>
      </c>
      <c r="Q22" s="38" t="s">
        <v>190</v>
      </c>
      <c r="R22" s="36" t="s">
        <v>85</v>
      </c>
      <c r="S22" s="36" t="s">
        <v>28</v>
      </c>
      <c r="T22" s="37"/>
      <c r="U22" s="37"/>
      <c r="V22" s="37"/>
      <c r="W22" s="37"/>
      <c r="X22" s="37"/>
      <c r="Y22" s="37"/>
      <c r="Z22" s="37"/>
      <c r="AA22" s="37"/>
      <c r="AB22" s="36" t="str">
        <f aca="true">IF(T22="","",TODAY()-T22)</f>
        <v/>
      </c>
      <c r="AC22" s="36" t="str">
        <f aca="true">IF(T22="","",IF(V22&lt;&gt;"","",IF(TODAY()-T22&gt;=7,"DUE","")))</f>
        <v/>
      </c>
      <c r="AD22" s="36" t="str">
        <f aca="true">IF(T22="","",IF(AND(V22="",TODAY()-T22&gt;=30),"GHOSTED",""))</f>
        <v/>
      </c>
      <c r="AE22" s="36"/>
      <c r="AF22" s="36" t="str">
        <f aca="false">IF(E22="","",LOWER(E22&amp;" | "&amp;F22&amp;" | "&amp;G22))</f>
        <v>business cents | payroll processor | manchester, nh</v>
      </c>
      <c r="AG22" s="36" t="str">
        <f aca="false">IF(AF22="","",IF(COUNTIF($AF$2:$AF$1000,AF22)&gt;1,"DUP",""))</f>
        <v/>
      </c>
    </row>
    <row r="23" customFormat="false" ht="32.8" hidden="false" customHeight="false" outlineLevel="0" collapsed="false">
      <c r="A23" s="41" t="s">
        <v>191</v>
      </c>
      <c r="B23" s="42" t="n">
        <v>46318</v>
      </c>
      <c r="C23" s="42" t="n">
        <v>46307</v>
      </c>
      <c r="D23" s="41" t="s">
        <v>31</v>
      </c>
      <c r="E23" s="41" t="s">
        <v>192</v>
      </c>
      <c r="F23" s="43" t="s">
        <v>193</v>
      </c>
      <c r="G23" s="41" t="s">
        <v>121</v>
      </c>
      <c r="H23" s="41" t="s">
        <v>80</v>
      </c>
      <c r="I23" s="41" t="s">
        <v>89</v>
      </c>
      <c r="J23" s="41" t="s">
        <v>194</v>
      </c>
      <c r="K23" s="44" t="n">
        <v>56000</v>
      </c>
      <c r="L23" s="44"/>
      <c r="M23" s="44" t="n">
        <f aca="false">IF(AND(K23="",L23=""),"",IF(L23="",K23,IF(K23="",L23,ROUND(AVERAGE(K23:L23),0))))</f>
        <v>56000</v>
      </c>
      <c r="N23" s="41" t="s">
        <v>43</v>
      </c>
      <c r="O23" s="45" t="s">
        <v>83</v>
      </c>
      <c r="P23" s="41" t="n">
        <v>3</v>
      </c>
      <c r="Q23" s="43" t="s">
        <v>195</v>
      </c>
      <c r="R23" s="41" t="s">
        <v>85</v>
      </c>
      <c r="S23" s="41" t="s">
        <v>28</v>
      </c>
      <c r="T23" s="42"/>
      <c r="U23" s="42"/>
      <c r="V23" s="42"/>
      <c r="W23" s="42"/>
      <c r="X23" s="42"/>
      <c r="Y23" s="42"/>
      <c r="Z23" s="42"/>
      <c r="AA23" s="42"/>
      <c r="AB23" s="41" t="str">
        <f aca="true">IF(T23="","",TODAY()-T23)</f>
        <v/>
      </c>
      <c r="AC23" s="41" t="str">
        <f aca="true">IF(T23="","",IF(V23&lt;&gt;"","",IF(TODAY()-T23&gt;=7,"DUE","")))</f>
        <v/>
      </c>
      <c r="AD23" s="41" t="str">
        <f aca="true">IF(T23="","",IF(AND(V23="",TODAY()-T23&gt;=30),"GHOSTED",""))</f>
        <v/>
      </c>
      <c r="AE23" s="41"/>
      <c r="AF23" s="41" t="str">
        <f aca="false">IF(E23="","",LOWER(E23&amp;" | "&amp;F23&amp;" | "&amp;G23))</f>
        <v>bronze craft corp | payroll and accounts receivable specialist | nashua, nh</v>
      </c>
      <c r="AG23" s="41" t="str">
        <f aca="false">IF(AF23="","",IF(COUNTIF($AF$2:$AF$1000,AF23)&gt;1,"DUP",""))</f>
        <v/>
      </c>
    </row>
    <row r="24" customFormat="false" ht="32.8" hidden="false" customHeight="false" outlineLevel="0" collapsed="false">
      <c r="A24" s="36" t="s">
        <v>196</v>
      </c>
      <c r="B24" s="37" t="n">
        <v>46318</v>
      </c>
      <c r="C24" s="37" t="n">
        <v>46297</v>
      </c>
      <c r="D24" s="36" t="s">
        <v>33</v>
      </c>
      <c r="E24" s="36" t="s">
        <v>197</v>
      </c>
      <c r="F24" s="38" t="s">
        <v>198</v>
      </c>
      <c r="G24" s="36" t="s">
        <v>199</v>
      </c>
      <c r="H24" s="36" t="s">
        <v>80</v>
      </c>
      <c r="I24" s="36" t="s">
        <v>89</v>
      </c>
      <c r="J24" s="36" t="s">
        <v>200</v>
      </c>
      <c r="K24" s="39" t="n">
        <v>44540</v>
      </c>
      <c r="L24" s="39" t="n">
        <v>57356</v>
      </c>
      <c r="M24" s="39" t="n">
        <f aca="false">IF(AND(K24="",L24=""),"",IF(L24="",K24,IF(K24="",L24,ROUND(AVERAGE(K24:L24),0))))</f>
        <v>50948</v>
      </c>
      <c r="N24" s="36" t="s">
        <v>43</v>
      </c>
      <c r="O24" s="40" t="s">
        <v>83</v>
      </c>
      <c r="P24" s="36" t="n">
        <v>3</v>
      </c>
      <c r="Q24" s="38" t="s">
        <v>201</v>
      </c>
      <c r="R24" s="36" t="s">
        <v>85</v>
      </c>
      <c r="S24" s="36" t="s">
        <v>28</v>
      </c>
      <c r="T24" s="37"/>
      <c r="U24" s="37"/>
      <c r="V24" s="37"/>
      <c r="W24" s="37"/>
      <c r="X24" s="37"/>
      <c r="Y24" s="37"/>
      <c r="Z24" s="37"/>
      <c r="AA24" s="37"/>
      <c r="AB24" s="36" t="str">
        <f aca="true">IF(T24="","",TODAY()-T24)</f>
        <v/>
      </c>
      <c r="AC24" s="36" t="str">
        <f aca="true">IF(T24="","",IF(V24&lt;&gt;"","",IF(TODAY()-T24&gt;=7,"DUE","")))</f>
        <v/>
      </c>
      <c r="AD24" s="36" t="str">
        <f aca="true">IF(T24="","",IF(AND(V24="",TODAY()-T24&gt;=30),"GHOSTED",""))</f>
        <v/>
      </c>
      <c r="AE24" s="36"/>
      <c r="AF24" s="36" t="str">
        <f aca="false">IF(E24="","",LOWER(E24&amp;" | "&amp;F24&amp;" | "&amp;G24))</f>
        <v>community crossroads | accounting coordinator | atkinson, nh</v>
      </c>
      <c r="AG24" s="36" t="str">
        <f aca="false">IF(AF24="","",IF(COUNTIF($AF$2:$AF$1000,AF24)&gt;1,"DUP",""))</f>
        <v/>
      </c>
    </row>
    <row r="25" customFormat="false" ht="22.35" hidden="false" customHeight="false" outlineLevel="0" collapsed="false">
      <c r="A25" s="41" t="s">
        <v>202</v>
      </c>
      <c r="B25" s="42" t="n">
        <v>46318</v>
      </c>
      <c r="C25" s="42" t="n">
        <v>46307</v>
      </c>
      <c r="D25" s="41" t="s">
        <v>31</v>
      </c>
      <c r="E25" s="41" t="s">
        <v>203</v>
      </c>
      <c r="F25" s="43" t="s">
        <v>204</v>
      </c>
      <c r="G25" s="41" t="s">
        <v>205</v>
      </c>
      <c r="H25" s="41" t="s">
        <v>80</v>
      </c>
      <c r="I25" s="41" t="s">
        <v>206</v>
      </c>
      <c r="J25" s="41" t="s">
        <v>207</v>
      </c>
      <c r="K25" s="44" t="n">
        <v>70000</v>
      </c>
      <c r="L25" s="44" t="n">
        <v>85000</v>
      </c>
      <c r="M25" s="44" t="n">
        <f aca="false">IF(AND(K25="",L25=""),"",IF(L25="",K25,IF(K25="",L25,ROUND(AVERAGE(K25:L25),0))))</f>
        <v>77500</v>
      </c>
      <c r="N25" s="41" t="s">
        <v>43</v>
      </c>
      <c r="O25" s="45" t="s">
        <v>83</v>
      </c>
      <c r="P25" s="41" t="n">
        <v>5</v>
      </c>
      <c r="Q25" s="43" t="s">
        <v>208</v>
      </c>
      <c r="R25" s="41" t="s">
        <v>85</v>
      </c>
      <c r="S25" s="41" t="s">
        <v>28</v>
      </c>
      <c r="T25" s="42"/>
      <c r="U25" s="42"/>
      <c r="V25" s="42"/>
      <c r="W25" s="42"/>
      <c r="X25" s="42"/>
      <c r="Y25" s="42"/>
      <c r="Z25" s="42"/>
      <c r="AA25" s="42"/>
      <c r="AB25" s="41" t="str">
        <f aca="true">IF(T25="","",TODAY()-T25)</f>
        <v/>
      </c>
      <c r="AC25" s="41" t="str">
        <f aca="true">IF(T25="","",IF(V25&lt;&gt;"","",IF(TODAY()-T25&gt;=7,"DUE","")))</f>
        <v/>
      </c>
      <c r="AD25" s="41" t="str">
        <f aca="true">IF(T25="","",IF(AND(V25="",TODAY()-T25&gt;=30),"GHOSTED",""))</f>
        <v/>
      </c>
      <c r="AE25" s="41"/>
      <c r="AF25" s="41" t="str">
        <f aca="false">IF(E25="","",LOWER(E25&amp;" | "&amp;F25&amp;" | "&amp;G25))</f>
        <v>kbw financial staffing | accountant ii | portsmouth, nh</v>
      </c>
      <c r="AG25" s="41" t="str">
        <f aca="false">IF(AF25="","",IF(COUNTIF($AF$2:$AF$1000,AF25)&gt;1,"DUP",""))</f>
        <v/>
      </c>
    </row>
    <row r="26" customFormat="false" ht="22.35" hidden="false" customHeight="false" outlineLevel="0" collapsed="false">
      <c r="A26" s="36" t="s">
        <v>209</v>
      </c>
      <c r="B26" s="37" t="n">
        <v>46318</v>
      </c>
      <c r="C26" s="37" t="n">
        <v>46239</v>
      </c>
      <c r="D26" s="36" t="s">
        <v>34</v>
      </c>
      <c r="E26" s="36" t="s">
        <v>210</v>
      </c>
      <c r="F26" s="38" t="s">
        <v>211</v>
      </c>
      <c r="G26" s="36" t="s">
        <v>205</v>
      </c>
      <c r="H26" s="36" t="s">
        <v>80</v>
      </c>
      <c r="I26" s="36" t="s">
        <v>89</v>
      </c>
      <c r="J26" s="36" t="s">
        <v>212</v>
      </c>
      <c r="K26" s="39" t="n">
        <v>94959</v>
      </c>
      <c r="L26" s="39" t="n">
        <v>118700</v>
      </c>
      <c r="M26" s="39" t="n">
        <f aca="false">IF(AND(K26="",L26=""),"",IF(L26="",K26,IF(K26="",L26,ROUND(AVERAGE(K26:L26),0))))</f>
        <v>106830</v>
      </c>
      <c r="N26" s="36" t="s">
        <v>43</v>
      </c>
      <c r="O26" s="40" t="s">
        <v>83</v>
      </c>
      <c r="P26" s="36" t="n">
        <v>3</v>
      </c>
      <c r="Q26" s="38" t="s">
        <v>213</v>
      </c>
      <c r="R26" s="36" t="s">
        <v>85</v>
      </c>
      <c r="S26" s="36" t="s">
        <v>28</v>
      </c>
      <c r="T26" s="37"/>
      <c r="U26" s="37"/>
      <c r="V26" s="37"/>
      <c r="W26" s="37"/>
      <c r="X26" s="37"/>
      <c r="Y26" s="37"/>
      <c r="Z26" s="37"/>
      <c r="AA26" s="37"/>
      <c r="AB26" s="36" t="str">
        <f aca="true">IF(T26="","",TODAY()-T26)</f>
        <v/>
      </c>
      <c r="AC26" s="36" t="str">
        <f aca="true">IF(T26="","",IF(V26&lt;&gt;"","",IF(TODAY()-T26&gt;=7,"DUE","")))</f>
        <v/>
      </c>
      <c r="AD26" s="36" t="str">
        <f aca="true">IF(T26="","",IF(AND(V26="",TODAY()-T26&gt;=30),"GHOSTED",""))</f>
        <v/>
      </c>
      <c r="AE26" s="36"/>
      <c r="AF26" s="36" t="str">
        <f aca="false">IF(E26="","",LOWER(E26&amp;" | "&amp;F26&amp;" | "&amp;G26))</f>
        <v>service credit union | financial accountant | portsmouth, nh</v>
      </c>
      <c r="AG26" s="36" t="str">
        <f aca="false">IF(AF26="","",IF(COUNTIF($AF$2:$AF$1000,AF26)&gt;1,"DUP",""))</f>
        <v/>
      </c>
    </row>
    <row r="27" customFormat="false" ht="32.8" hidden="false" customHeight="false" outlineLevel="0" collapsed="false">
      <c r="A27" s="41" t="s">
        <v>214</v>
      </c>
      <c r="B27" s="42" t="n">
        <v>46318</v>
      </c>
      <c r="C27" s="42" t="n">
        <v>46297</v>
      </c>
      <c r="D27" s="41" t="s">
        <v>29</v>
      </c>
      <c r="E27" s="41" t="s">
        <v>77</v>
      </c>
      <c r="F27" s="43" t="s">
        <v>215</v>
      </c>
      <c r="G27" s="41" t="s">
        <v>79</v>
      </c>
      <c r="H27" s="41" t="s">
        <v>80</v>
      </c>
      <c r="I27" s="41" t="s">
        <v>81</v>
      </c>
      <c r="J27" s="41" t="s">
        <v>216</v>
      </c>
      <c r="K27" s="44" t="n">
        <v>31200</v>
      </c>
      <c r="L27" s="44" t="n">
        <v>83200</v>
      </c>
      <c r="M27" s="44" t="n">
        <f aca="false">IF(AND(K27="",L27=""),"",IF(L27="",K27,IF(K27="",L27,ROUND(AVERAGE(K27:L27),0))))</f>
        <v>57200</v>
      </c>
      <c r="N27" s="41" t="s">
        <v>43</v>
      </c>
      <c r="O27" s="45" t="s">
        <v>83</v>
      </c>
      <c r="P27" s="41" t="n">
        <v>3</v>
      </c>
      <c r="Q27" s="43" t="s">
        <v>217</v>
      </c>
      <c r="R27" s="41" t="s">
        <v>85</v>
      </c>
      <c r="S27" s="41" t="s">
        <v>28</v>
      </c>
      <c r="T27" s="42"/>
      <c r="U27" s="42"/>
      <c r="V27" s="42"/>
      <c r="W27" s="42"/>
      <c r="X27" s="42"/>
      <c r="Y27" s="42"/>
      <c r="Z27" s="42"/>
      <c r="AA27" s="42"/>
      <c r="AB27" s="41" t="str">
        <f aca="true">IF(T27="","",TODAY()-T27)</f>
        <v/>
      </c>
      <c r="AC27" s="41" t="str">
        <f aca="true">IF(T27="","",IF(V27&lt;&gt;"","",IF(TODAY()-T27&gt;=7,"DUE","")))</f>
        <v/>
      </c>
      <c r="AD27" s="41" t="str">
        <f aca="true">IF(T27="","",IF(AND(V27="",TODAY()-T27&gt;=30),"GHOSTED",""))</f>
        <v/>
      </c>
      <c r="AE27" s="41"/>
      <c r="AF27" s="41" t="str">
        <f aca="false">IF(E27="","",LOWER(E27&amp;" | "&amp;F27&amp;" | "&amp;G27))</f>
        <v>feature solutions | tax expert (cpa or ea) – base + commission | manchester, nh</v>
      </c>
      <c r="AG27" s="41" t="str">
        <f aca="false">IF(AF27="","",IF(COUNTIF($AF$2:$AF$1000,AF27)&gt;1,"DUP",""))</f>
        <v/>
      </c>
    </row>
    <row r="28" customFormat="false" ht="22.35" hidden="false" customHeight="false" outlineLevel="0" collapsed="false">
      <c r="A28" s="36" t="s">
        <v>218</v>
      </c>
      <c r="B28" s="37" t="n">
        <v>46318</v>
      </c>
      <c r="C28" s="37" t="n">
        <v>46296</v>
      </c>
      <c r="D28" s="36" t="s">
        <v>36</v>
      </c>
      <c r="E28" s="36" t="s">
        <v>219</v>
      </c>
      <c r="F28" s="38" t="s">
        <v>220</v>
      </c>
      <c r="G28" s="36" t="s">
        <v>121</v>
      </c>
      <c r="H28" s="36" t="s">
        <v>80</v>
      </c>
      <c r="I28" s="36" t="s">
        <v>140</v>
      </c>
      <c r="J28" s="36" t="s">
        <v>221</v>
      </c>
      <c r="K28" s="39" t="n">
        <v>56160</v>
      </c>
      <c r="L28" s="39" t="n">
        <v>85280</v>
      </c>
      <c r="M28" s="39" t="n">
        <f aca="false">IF(AND(K28="",L28=""),"",IF(L28="",K28,IF(K28="",L28,ROUND(AVERAGE(K28:L28),0))))</f>
        <v>70720</v>
      </c>
      <c r="N28" s="36" t="s">
        <v>43</v>
      </c>
      <c r="O28" s="40" t="s">
        <v>83</v>
      </c>
      <c r="P28" s="36" t="n">
        <v>3</v>
      </c>
      <c r="Q28" s="38" t="s">
        <v>222</v>
      </c>
      <c r="R28" s="36" t="s">
        <v>85</v>
      </c>
      <c r="S28" s="36" t="s">
        <v>28</v>
      </c>
      <c r="T28" s="37"/>
      <c r="U28" s="37"/>
      <c r="V28" s="37"/>
      <c r="W28" s="37"/>
      <c r="X28" s="37"/>
      <c r="Y28" s="37"/>
      <c r="Z28" s="37"/>
      <c r="AA28" s="37"/>
      <c r="AB28" s="36" t="str">
        <f aca="true">IF(T28="","",TODAY()-T28)</f>
        <v/>
      </c>
      <c r="AC28" s="36" t="str">
        <f aca="true">IF(T28="","",IF(V28&lt;&gt;"","",IF(TODAY()-T28&gt;=7,"DUE","")))</f>
        <v/>
      </c>
      <c r="AD28" s="36" t="str">
        <f aca="true">IF(T28="","",IF(AND(V28="",TODAY()-T28&gt;=30),"GHOSTED",""))</f>
        <v/>
      </c>
      <c r="AE28" s="36"/>
      <c r="AF28" s="36" t="str">
        <f aca="false">IF(E28="","",LOWER(E28&amp;" | "&amp;F28&amp;" | "&amp;G28))</f>
        <v>intuit | tax expert - local | nashua, nh</v>
      </c>
      <c r="AG28" s="36" t="str">
        <f aca="false">IF(AF28="","",IF(COUNTIF($AF$2:$AF$1000,AF28)&gt;1,"DUP",""))</f>
        <v/>
      </c>
    </row>
    <row r="29" customFormat="false" ht="22.35" hidden="false" customHeight="false" outlineLevel="0" collapsed="false">
      <c r="A29" s="41" t="s">
        <v>223</v>
      </c>
      <c r="B29" s="42" t="n">
        <v>46318</v>
      </c>
      <c r="C29" s="42" t="n">
        <v>46315</v>
      </c>
      <c r="D29" s="41" t="s">
        <v>31</v>
      </c>
      <c r="E29" s="41" t="s">
        <v>224</v>
      </c>
      <c r="F29" s="43" t="s">
        <v>225</v>
      </c>
      <c r="G29" s="41" t="s">
        <v>226</v>
      </c>
      <c r="H29" s="41" t="s">
        <v>80</v>
      </c>
      <c r="I29" s="41" t="s">
        <v>89</v>
      </c>
      <c r="J29" s="41" t="s">
        <v>227</v>
      </c>
      <c r="K29" s="44" t="n">
        <v>100000</v>
      </c>
      <c r="L29" s="44" t="n">
        <v>150000</v>
      </c>
      <c r="M29" s="44" t="n">
        <f aca="false">IF(AND(K29="",L29=""),"",IF(L29="",K29,IF(K29="",L29,ROUND(AVERAGE(K29:L29),0))))</f>
        <v>125000</v>
      </c>
      <c r="N29" s="41" t="s">
        <v>43</v>
      </c>
      <c r="O29" s="45" t="s">
        <v>83</v>
      </c>
      <c r="P29" s="41" t="n">
        <v>3</v>
      </c>
      <c r="Q29" s="43" t="s">
        <v>228</v>
      </c>
      <c r="R29" s="41" t="s">
        <v>85</v>
      </c>
      <c r="S29" s="41" t="s">
        <v>28</v>
      </c>
      <c r="T29" s="42"/>
      <c r="U29" s="42"/>
      <c r="V29" s="42"/>
      <c r="W29" s="42"/>
      <c r="X29" s="42"/>
      <c r="Y29" s="42"/>
      <c r="Z29" s="42"/>
      <c r="AA29" s="42"/>
      <c r="AB29" s="41" t="str">
        <f aca="true">IF(T29="","",TODAY()-T29)</f>
        <v/>
      </c>
      <c r="AC29" s="41" t="str">
        <f aca="true">IF(T29="","",IF(V29&lt;&gt;"","",IF(TODAY()-T29&gt;=7,"DUE","")))</f>
        <v/>
      </c>
      <c r="AD29" s="41" t="str">
        <f aca="true">IF(T29="","",IF(AND(V29="",TODAY()-T29&gt;=30),"GHOSTED",""))</f>
        <v/>
      </c>
      <c r="AE29" s="41"/>
      <c r="AF29" s="41" t="str">
        <f aca="false">IF(E29="","",LOWER(E29&amp;" | "&amp;F29&amp;" | "&amp;G29))</f>
        <v>pulsar alarm systems | certified public accountant | plaistow, nh</v>
      </c>
      <c r="AG29" s="41" t="str">
        <f aca="false">IF(AF29="","",IF(COUNTIF($AF$2:$AF$1000,AF29)&gt;1,"DUP",""))</f>
        <v/>
      </c>
    </row>
    <row r="30" customFormat="false" ht="32.8" hidden="false" customHeight="false" outlineLevel="0" collapsed="false">
      <c r="A30" s="36" t="s">
        <v>229</v>
      </c>
      <c r="B30" s="37" t="n">
        <v>46318</v>
      </c>
      <c r="C30" s="37" t="n">
        <v>46307</v>
      </c>
      <c r="D30" s="36" t="s">
        <v>34</v>
      </c>
      <c r="E30" s="36" t="s">
        <v>230</v>
      </c>
      <c r="F30" s="38" t="s">
        <v>231</v>
      </c>
      <c r="G30" s="36" t="s">
        <v>232</v>
      </c>
      <c r="H30" s="36" t="s">
        <v>233</v>
      </c>
      <c r="I30" s="36" t="s">
        <v>89</v>
      </c>
      <c r="J30" s="36" t="s">
        <v>234</v>
      </c>
      <c r="K30" s="39" t="n">
        <v>82779</v>
      </c>
      <c r="L30" s="39" t="n">
        <v>140723</v>
      </c>
      <c r="M30" s="39" t="n">
        <f aca="false">IF(AND(K30="",L30=""),"",IF(L30="",K30,IF(K30="",L30,ROUND(AVERAGE(K30:L30),0))))</f>
        <v>111751</v>
      </c>
      <c r="N30" s="36" t="s">
        <v>43</v>
      </c>
      <c r="O30" s="40" t="s">
        <v>83</v>
      </c>
      <c r="P30" s="36" t="n">
        <v>3</v>
      </c>
      <c r="Q30" s="38" t="s">
        <v>235</v>
      </c>
      <c r="R30" s="36" t="s">
        <v>85</v>
      </c>
      <c r="S30" s="36" t="s">
        <v>28</v>
      </c>
      <c r="T30" s="37"/>
      <c r="U30" s="37"/>
      <c r="V30" s="37"/>
      <c r="W30" s="37"/>
      <c r="X30" s="37"/>
      <c r="Y30" s="37"/>
      <c r="Z30" s="37"/>
      <c r="AA30" s="37"/>
      <c r="AB30" s="36" t="str">
        <f aca="true">IF(T30="","",TODAY()-T30)</f>
        <v/>
      </c>
      <c r="AC30" s="36" t="str">
        <f aca="true">IF(T30="","",IF(V30&lt;&gt;"","",IF(TODAY()-T30&gt;=7,"DUE","")))</f>
        <v/>
      </c>
      <c r="AD30" s="36" t="str">
        <f aca="true">IF(T30="","",IF(AND(V30="",TODAY()-T30&gt;=30),"GHOSTED",""))</f>
        <v/>
      </c>
      <c r="AE30" s="36"/>
      <c r="AF30" s="36" t="str">
        <f aca="false">IF(E30="","",LOWER(E30&amp;" | "&amp;F30&amp;" | "&amp;G30))</f>
        <v>bae systems | senior program control analyst, eas finance (hybrid) | hudson, nh</v>
      </c>
      <c r="AG30" s="36" t="str">
        <f aca="false">IF(AF30="","",IF(COUNTIF($AF$2:$AF$1000,AF30)&gt;1,"DUP",""))</f>
        <v/>
      </c>
    </row>
    <row r="31" customFormat="false" ht="32.8" hidden="false" customHeight="false" outlineLevel="0" collapsed="false">
      <c r="A31" s="41" t="s">
        <v>236</v>
      </c>
      <c r="B31" s="42" t="n">
        <v>46318</v>
      </c>
      <c r="C31" s="42" t="n">
        <v>46281</v>
      </c>
      <c r="D31" s="41" t="s">
        <v>29</v>
      </c>
      <c r="E31" s="41" t="s">
        <v>237</v>
      </c>
      <c r="F31" s="43" t="s">
        <v>238</v>
      </c>
      <c r="G31" s="41" t="s">
        <v>239</v>
      </c>
      <c r="H31" s="41" t="s">
        <v>80</v>
      </c>
      <c r="I31" s="41" t="s">
        <v>81</v>
      </c>
      <c r="J31" s="41" t="s">
        <v>207</v>
      </c>
      <c r="K31" s="44" t="n">
        <v>70000</v>
      </c>
      <c r="L31" s="44" t="n">
        <v>85000</v>
      </c>
      <c r="M31" s="44" t="n">
        <f aca="false">IF(AND(K31="",L31=""),"",IF(L31="",K31,IF(K31="",L31,ROUND(AVERAGE(K31:L31),0))))</f>
        <v>77500</v>
      </c>
      <c r="N31" s="41" t="s">
        <v>43</v>
      </c>
      <c r="O31" s="45" t="s">
        <v>83</v>
      </c>
      <c r="P31" s="41" t="n">
        <v>5</v>
      </c>
      <c r="Q31" s="43" t="s">
        <v>240</v>
      </c>
      <c r="R31" s="41" t="s">
        <v>85</v>
      </c>
      <c r="S31" s="41" t="s">
        <v>28</v>
      </c>
      <c r="T31" s="42"/>
      <c r="U31" s="42"/>
      <c r="V31" s="42"/>
      <c r="W31" s="42"/>
      <c r="X31" s="42"/>
      <c r="Y31" s="42"/>
      <c r="Z31" s="42"/>
      <c r="AA31" s="42"/>
      <c r="AB31" s="41" t="str">
        <f aca="true">IF(T31="","",TODAY()-T31)</f>
        <v/>
      </c>
      <c r="AC31" s="41" t="str">
        <f aca="true">IF(T31="","",IF(V31&lt;&gt;"","",IF(TODAY()-T31&gt;=7,"DUE","")))</f>
        <v/>
      </c>
      <c r="AD31" s="41" t="str">
        <f aca="true">IF(T31="","",IF(AND(V31="",TODAY()-T31&gt;=30),"GHOSTED",""))</f>
        <v/>
      </c>
      <c r="AE31" s="41"/>
      <c r="AF31" s="41" t="str">
        <f aca="false">IF(E31="","",LOWER(E31&amp;" | "&amp;F31&amp;" | "&amp;G31))</f>
        <v>your part-time controller, llc | accountant (fractional/outsourced) | boston, ma</v>
      </c>
      <c r="AG31" s="41" t="str">
        <f aca="false">IF(AF31="","",IF(COUNTIF($AF$2:$AF$1000,AF31)&gt;1,"DUP",""))</f>
        <v/>
      </c>
    </row>
    <row r="32" customFormat="false" ht="22.35" hidden="false" customHeight="false" outlineLevel="0" collapsed="false">
      <c r="A32" s="36" t="s">
        <v>241</v>
      </c>
      <c r="B32" s="37" t="n">
        <v>46318</v>
      </c>
      <c r="C32" s="37" t="n">
        <v>46274</v>
      </c>
      <c r="D32" s="36" t="s">
        <v>29</v>
      </c>
      <c r="E32" s="36" t="s">
        <v>242</v>
      </c>
      <c r="F32" s="38" t="s">
        <v>243</v>
      </c>
      <c r="G32" s="36" t="s">
        <v>244</v>
      </c>
      <c r="H32" s="36" t="s">
        <v>80</v>
      </c>
      <c r="I32" s="36" t="s">
        <v>89</v>
      </c>
      <c r="J32" s="36" t="s">
        <v>245</v>
      </c>
      <c r="K32" s="39" t="n">
        <v>62400</v>
      </c>
      <c r="L32" s="39" t="n">
        <v>70720</v>
      </c>
      <c r="M32" s="39" t="n">
        <f aca="false">IF(AND(K32="",L32=""),"",IF(L32="",K32,IF(K32="",L32,ROUND(AVERAGE(K32:L32),0))))</f>
        <v>66560</v>
      </c>
      <c r="N32" s="36" t="s">
        <v>43</v>
      </c>
      <c r="O32" s="40" t="s">
        <v>83</v>
      </c>
      <c r="P32" s="36" t="n">
        <v>5</v>
      </c>
      <c r="Q32" s="38" t="s">
        <v>246</v>
      </c>
      <c r="R32" s="36" t="s">
        <v>85</v>
      </c>
      <c r="S32" s="36" t="s">
        <v>28</v>
      </c>
      <c r="T32" s="37"/>
      <c r="U32" s="37"/>
      <c r="V32" s="37"/>
      <c r="W32" s="37"/>
      <c r="X32" s="37"/>
      <c r="Y32" s="37"/>
      <c r="Z32" s="37"/>
      <c r="AA32" s="37"/>
      <c r="AB32" s="36" t="str">
        <f aca="true">IF(T32="","",TODAY()-T32)</f>
        <v/>
      </c>
      <c r="AC32" s="36" t="str">
        <f aca="true">IF(T32="","",IF(V32&lt;&gt;"","",IF(TODAY()-T32&gt;=7,"DUE","")))</f>
        <v/>
      </c>
      <c r="AD32" s="36" t="str">
        <f aca="true">IF(T32="","",IF(AND(V32="",TODAY()-T32&gt;=30),"GHOSTED",""))</f>
        <v/>
      </c>
      <c r="AE32" s="36"/>
      <c r="AF32" s="36" t="str">
        <f aca="false">IF(E32="","",LOWER(E32&amp;" | "&amp;F32&amp;" | "&amp;G32))</f>
        <v>roessel joy | staff accountant / bookkeeper | danvers, ma</v>
      </c>
      <c r="AG32" s="36" t="str">
        <f aca="false">IF(AF32="","",IF(COUNTIF($AF$2:$AF$1000,AF32)&gt;1,"DUP",""))</f>
        <v/>
      </c>
    </row>
    <row r="33" customFormat="false" ht="32.8" hidden="false" customHeight="false" outlineLevel="0" collapsed="false">
      <c r="A33" s="41" t="s">
        <v>247</v>
      </c>
      <c r="B33" s="42" t="n">
        <v>46318</v>
      </c>
      <c r="C33" s="42" t="n">
        <v>46316</v>
      </c>
      <c r="D33" s="41" t="s">
        <v>31</v>
      </c>
      <c r="E33" s="41" t="s">
        <v>248</v>
      </c>
      <c r="F33" s="43" t="s">
        <v>249</v>
      </c>
      <c r="G33" s="41" t="s">
        <v>250</v>
      </c>
      <c r="H33" s="41" t="s">
        <v>80</v>
      </c>
      <c r="I33" s="41" t="s">
        <v>81</v>
      </c>
      <c r="J33" s="41" t="s">
        <v>251</v>
      </c>
      <c r="K33" s="44" t="n">
        <v>52000</v>
      </c>
      <c r="L33" s="44" t="n">
        <v>72800</v>
      </c>
      <c r="M33" s="44" t="n">
        <f aca="false">IF(AND(K33="",L33=""),"",IF(L33="",K33,IF(K33="",L33,ROUND(AVERAGE(K33:L33),0))))</f>
        <v>62400</v>
      </c>
      <c r="N33" s="41" t="s">
        <v>43</v>
      </c>
      <c r="O33" s="45" t="s">
        <v>83</v>
      </c>
      <c r="P33" s="41" t="n">
        <v>5</v>
      </c>
      <c r="Q33" s="43" t="s">
        <v>252</v>
      </c>
      <c r="R33" s="41" t="s">
        <v>85</v>
      </c>
      <c r="S33" s="41" t="s">
        <v>28</v>
      </c>
      <c r="T33" s="42"/>
      <c r="U33" s="42"/>
      <c r="V33" s="42"/>
      <c r="W33" s="42"/>
      <c r="X33" s="42"/>
      <c r="Y33" s="42"/>
      <c r="Z33" s="42"/>
      <c r="AA33" s="42"/>
      <c r="AB33" s="41" t="str">
        <f aca="true">IF(T33="","",TODAY()-T33)</f>
        <v/>
      </c>
      <c r="AC33" s="41" t="str">
        <f aca="true">IF(T33="","",IF(V33&lt;&gt;"","",IF(TODAY()-T33&gt;=7,"DUE","")))</f>
        <v/>
      </c>
      <c r="AD33" s="41" t="str">
        <f aca="true">IF(T33="","",IF(AND(V33="",TODAY()-T33&gt;=30),"GHOSTED",""))</f>
        <v/>
      </c>
      <c r="AE33" s="41"/>
      <c r="AF33" s="41" t="str">
        <f aca="false">IF(E33="","",LOWER(E33&amp;" | "&amp;F33&amp;" | "&amp;G33))</f>
        <v>lvr corporation | office administrator / bookkeeper | peabody, ma</v>
      </c>
      <c r="AG33" s="41" t="str">
        <f aca="false">IF(AF33="","",IF(COUNTIF($AF$2:$AF$1000,AF33)&gt;1,"DUP",""))</f>
        <v/>
      </c>
    </row>
    <row r="34" customFormat="false" ht="22.35" hidden="false" customHeight="false" outlineLevel="0" collapsed="false">
      <c r="A34" s="36" t="s">
        <v>253</v>
      </c>
      <c r="B34" s="37" t="n">
        <v>46318</v>
      </c>
      <c r="C34" s="37" t="n">
        <v>46292</v>
      </c>
      <c r="D34" s="36" t="s">
        <v>29</v>
      </c>
      <c r="E34" s="36" t="s">
        <v>254</v>
      </c>
      <c r="F34" s="38" t="s">
        <v>255</v>
      </c>
      <c r="G34" s="36" t="s">
        <v>256</v>
      </c>
      <c r="H34" s="36" t="s">
        <v>80</v>
      </c>
      <c r="I34" s="36" t="s">
        <v>81</v>
      </c>
      <c r="J34" s="36" t="s">
        <v>257</v>
      </c>
      <c r="K34" s="39" t="n">
        <v>45760</v>
      </c>
      <c r="L34" s="39" t="n">
        <v>66560</v>
      </c>
      <c r="M34" s="39" t="n">
        <f aca="false">IF(AND(K34="",L34=""),"",IF(L34="",K34,IF(K34="",L34,ROUND(AVERAGE(K34:L34),0))))</f>
        <v>56160</v>
      </c>
      <c r="N34" s="36" t="s">
        <v>43</v>
      </c>
      <c r="O34" s="40" t="s">
        <v>83</v>
      </c>
      <c r="P34" s="36" t="n">
        <v>5</v>
      </c>
      <c r="Q34" s="38" t="s">
        <v>258</v>
      </c>
      <c r="R34" s="36" t="s">
        <v>85</v>
      </c>
      <c r="S34" s="36" t="s">
        <v>28</v>
      </c>
      <c r="T34" s="37"/>
      <c r="U34" s="37"/>
      <c r="V34" s="37"/>
      <c r="W34" s="37"/>
      <c r="X34" s="37"/>
      <c r="Y34" s="37"/>
      <c r="Z34" s="37"/>
      <c r="AA34" s="37"/>
      <c r="AB34" s="36" t="str">
        <f aca="true">IF(T34="","",TODAY()-T34)</f>
        <v/>
      </c>
      <c r="AC34" s="36" t="str">
        <f aca="true">IF(T34="","",IF(V34&lt;&gt;"","",IF(TODAY()-T34&gt;=7,"DUE","")))</f>
        <v/>
      </c>
      <c r="AD34" s="36" t="str">
        <f aca="true">IF(T34="","",IF(AND(V34="",TODAY()-T34&gt;=30),"GHOSTED",""))</f>
        <v/>
      </c>
      <c r="AE34" s="36"/>
      <c r="AF34" s="36" t="str">
        <f aca="false">IF(E34="","",LOWER(E34&amp;" | "&amp;F34&amp;" | "&amp;G34))</f>
        <v>drewnick bookkeeping llc | bookkeeper | tewksbury, ma</v>
      </c>
      <c r="AG34" s="36" t="str">
        <f aca="false">IF(AF34="","",IF(COUNTIF($AF$2:$AF$1000,AF34)&gt;1,"DUP",""))</f>
        <v/>
      </c>
    </row>
    <row r="35" customFormat="false" ht="32.8" hidden="false" customHeight="false" outlineLevel="0" collapsed="false">
      <c r="A35" s="41" t="s">
        <v>259</v>
      </c>
      <c r="B35" s="42" t="n">
        <v>46318</v>
      </c>
      <c r="C35" s="42" t="n">
        <v>46318</v>
      </c>
      <c r="D35" s="41" t="s">
        <v>31</v>
      </c>
      <c r="E35" s="41" t="s">
        <v>260</v>
      </c>
      <c r="F35" s="43" t="s">
        <v>261</v>
      </c>
      <c r="G35" s="41" t="s">
        <v>262</v>
      </c>
      <c r="H35" s="41" t="s">
        <v>80</v>
      </c>
      <c r="I35" s="41" t="s">
        <v>89</v>
      </c>
      <c r="J35" s="41" t="s">
        <v>263</v>
      </c>
      <c r="K35" s="44" t="n">
        <v>47840</v>
      </c>
      <c r="L35" s="44" t="n">
        <v>58240</v>
      </c>
      <c r="M35" s="44" t="n">
        <f aca="false">IF(AND(K35="",L35=""),"",IF(L35="",K35,IF(K35="",L35,ROUND(AVERAGE(K35:L35),0))))</f>
        <v>53040</v>
      </c>
      <c r="N35" s="41" t="s">
        <v>43</v>
      </c>
      <c r="O35" s="45" t="s">
        <v>83</v>
      </c>
      <c r="P35" s="41" t="n">
        <v>3</v>
      </c>
      <c r="Q35" s="43" t="s">
        <v>264</v>
      </c>
      <c r="R35" s="41" t="s">
        <v>85</v>
      </c>
      <c r="S35" s="41" t="s">
        <v>28</v>
      </c>
      <c r="T35" s="42"/>
      <c r="U35" s="42"/>
      <c r="V35" s="42"/>
      <c r="W35" s="42"/>
      <c r="X35" s="42"/>
      <c r="Y35" s="42"/>
      <c r="Z35" s="42"/>
      <c r="AA35" s="42"/>
      <c r="AB35" s="41" t="str">
        <f aca="true">IF(T35="","",TODAY()-T35)</f>
        <v/>
      </c>
      <c r="AC35" s="41" t="str">
        <f aca="true">IF(T35="","",IF(V35&lt;&gt;"","",IF(TODAY()-T35&gt;=7,"DUE","")))</f>
        <v/>
      </c>
      <c r="AD35" s="41" t="str">
        <f aca="true">IF(T35="","",IF(AND(V35="",TODAY()-T35&gt;=30),"GHOSTED",""))</f>
        <v/>
      </c>
      <c r="AE35" s="41"/>
      <c r="AF35" s="41" t="str">
        <f aca="false">IF(E35="","",LOWER(E35&amp;" | "&amp;F35&amp;" | "&amp;G35))</f>
        <v>kelly auto group | auto dealership accountant / bookkeeper | lynnfield, ma</v>
      </c>
      <c r="AG35" s="41" t="str">
        <f aca="false">IF(AF35="","",IF(COUNTIF($AF$2:$AF$1000,AF35)&gt;1,"DUP",""))</f>
        <v/>
      </c>
    </row>
    <row r="36" customFormat="false" ht="22.35" hidden="false" customHeight="false" outlineLevel="0" collapsed="false">
      <c r="A36" s="36" t="s">
        <v>265</v>
      </c>
      <c r="B36" s="37" t="n">
        <v>46318</v>
      </c>
      <c r="C36" s="37" t="n">
        <v>46308</v>
      </c>
      <c r="D36" s="36" t="s">
        <v>33</v>
      </c>
      <c r="E36" s="36" t="s">
        <v>266</v>
      </c>
      <c r="F36" s="38" t="s">
        <v>267</v>
      </c>
      <c r="G36" s="36" t="s">
        <v>268</v>
      </c>
      <c r="H36" s="36" t="s">
        <v>80</v>
      </c>
      <c r="I36" s="36" t="s">
        <v>81</v>
      </c>
      <c r="J36" s="36" t="s">
        <v>269</v>
      </c>
      <c r="K36" s="39" t="n">
        <v>49920</v>
      </c>
      <c r="L36" s="39" t="n">
        <v>54080</v>
      </c>
      <c r="M36" s="39" t="n">
        <f aca="false">IF(AND(K36="",L36=""),"",IF(L36="",K36,IF(K36="",L36,ROUND(AVERAGE(K36:L36),0))))</f>
        <v>52000</v>
      </c>
      <c r="N36" s="36" t="s">
        <v>43</v>
      </c>
      <c r="O36" s="40" t="s">
        <v>83</v>
      </c>
      <c r="P36" s="36" t="n">
        <v>3</v>
      </c>
      <c r="Q36" s="38" t="s">
        <v>270</v>
      </c>
      <c r="R36" s="36" t="s">
        <v>85</v>
      </c>
      <c r="S36" s="36" t="s">
        <v>28</v>
      </c>
      <c r="T36" s="37"/>
      <c r="U36" s="37"/>
      <c r="V36" s="37"/>
      <c r="W36" s="37"/>
      <c r="X36" s="37"/>
      <c r="Y36" s="37"/>
      <c r="Z36" s="37"/>
      <c r="AA36" s="37"/>
      <c r="AB36" s="36" t="str">
        <f aca="true">IF(T36="","",TODAY()-T36)</f>
        <v/>
      </c>
      <c r="AC36" s="36" t="str">
        <f aca="true">IF(T36="","",IF(V36&lt;&gt;"","",IF(TODAY()-T36&gt;=7,"DUE","")))</f>
        <v/>
      </c>
      <c r="AD36" s="36" t="str">
        <f aca="true">IF(T36="","",IF(AND(V36="",TODAY()-T36&gt;=30),"GHOSTED",""))</f>
        <v/>
      </c>
      <c r="AE36" s="36"/>
      <c r="AF36" s="36" t="str">
        <f aca="false">IF(E36="","",LOWER(E36&amp;" | "&amp;F36&amp;" | "&amp;G36))</f>
        <v>lowell catholic high school | finance associate | lowell, ma</v>
      </c>
      <c r="AG36" s="36" t="str">
        <f aca="false">IF(AF36="","",IF(COUNTIF($AF$2:$AF$1000,AF36)&gt;1,"DUP",""))</f>
        <v/>
      </c>
    </row>
    <row r="37" customFormat="false" ht="22.35" hidden="false" customHeight="false" outlineLevel="0" collapsed="false">
      <c r="A37" s="41" t="s">
        <v>271</v>
      </c>
      <c r="B37" s="42" t="n">
        <v>46318</v>
      </c>
      <c r="C37" s="42" t="n">
        <v>46293</v>
      </c>
      <c r="D37" s="41" t="s">
        <v>31</v>
      </c>
      <c r="E37" s="41" t="s">
        <v>272</v>
      </c>
      <c r="F37" s="43" t="s">
        <v>273</v>
      </c>
      <c r="G37" s="41" t="s">
        <v>274</v>
      </c>
      <c r="H37" s="41" t="s">
        <v>80</v>
      </c>
      <c r="I37" s="41" t="s">
        <v>89</v>
      </c>
      <c r="J37" s="41" t="s">
        <v>275</v>
      </c>
      <c r="K37" s="44" t="n">
        <v>55000</v>
      </c>
      <c r="L37" s="44" t="n">
        <v>75000</v>
      </c>
      <c r="M37" s="44" t="n">
        <f aca="false">IF(AND(K37="",L37=""),"",IF(L37="",K37,IF(K37="",L37,ROUND(AVERAGE(K37:L37),0))))</f>
        <v>65000</v>
      </c>
      <c r="N37" s="41" t="s">
        <v>43</v>
      </c>
      <c r="O37" s="45" t="s">
        <v>83</v>
      </c>
      <c r="P37" s="41" t="n">
        <v>5</v>
      </c>
      <c r="Q37" s="43" t="s">
        <v>276</v>
      </c>
      <c r="R37" s="41" t="s">
        <v>85</v>
      </c>
      <c r="S37" s="41" t="s">
        <v>28</v>
      </c>
      <c r="T37" s="42"/>
      <c r="U37" s="42"/>
      <c r="V37" s="42"/>
      <c r="W37" s="42"/>
      <c r="X37" s="42"/>
      <c r="Y37" s="42"/>
      <c r="Z37" s="42"/>
      <c r="AA37" s="42"/>
      <c r="AB37" s="41" t="str">
        <f aca="true">IF(T37="","",TODAY()-T37)</f>
        <v/>
      </c>
      <c r="AC37" s="41" t="str">
        <f aca="true">IF(T37="","",IF(V37&lt;&gt;"","",IF(TODAY()-T37&gt;=7,"DUE","")))</f>
        <v/>
      </c>
      <c r="AD37" s="41" t="str">
        <f aca="true">IF(T37="","",IF(AND(V37="",TODAY()-T37&gt;=30),"GHOSTED",""))</f>
        <v/>
      </c>
      <c r="AE37" s="41"/>
      <c r="AF37" s="41" t="str">
        <f aca="false">IF(E37="","",LOWER(E37&amp;" | "&amp;F37&amp;" | "&amp;G37))</f>
        <v>dumpsters r us | accounting specialist | andover, ma</v>
      </c>
      <c r="AG37" s="41" t="str">
        <f aca="false">IF(AF37="","",IF(COUNTIF($AF$2:$AF$1000,AF37)&gt;1,"DUP",""))</f>
        <v/>
      </c>
    </row>
    <row r="38" customFormat="false" ht="22.35" hidden="false" customHeight="false" outlineLevel="0" collapsed="false">
      <c r="A38" s="36" t="s">
        <v>277</v>
      </c>
      <c r="B38" s="37" t="n">
        <v>46318</v>
      </c>
      <c r="C38" s="37" t="n">
        <v>46295</v>
      </c>
      <c r="D38" s="36" t="s">
        <v>31</v>
      </c>
      <c r="E38" s="36" t="s">
        <v>278</v>
      </c>
      <c r="F38" s="38" t="s">
        <v>279</v>
      </c>
      <c r="G38" s="36" t="s">
        <v>239</v>
      </c>
      <c r="H38" s="36" t="s">
        <v>80</v>
      </c>
      <c r="I38" s="36" t="s">
        <v>89</v>
      </c>
      <c r="J38" s="36" t="s">
        <v>280</v>
      </c>
      <c r="K38" s="39" t="n">
        <v>65000</v>
      </c>
      <c r="L38" s="39" t="n">
        <v>75000</v>
      </c>
      <c r="M38" s="39" t="n">
        <f aca="false">IF(AND(K38="",L38=""),"",IF(L38="",K38,IF(K38="",L38,ROUND(AVERAGE(K38:L38),0))))</f>
        <v>70000</v>
      </c>
      <c r="N38" s="36" t="s">
        <v>43</v>
      </c>
      <c r="O38" s="40" t="s">
        <v>83</v>
      </c>
      <c r="P38" s="36" t="n">
        <v>5</v>
      </c>
      <c r="Q38" s="38" t="s">
        <v>281</v>
      </c>
      <c r="R38" s="36" t="s">
        <v>85</v>
      </c>
      <c r="S38" s="36" t="s">
        <v>28</v>
      </c>
      <c r="T38" s="37"/>
      <c r="U38" s="37"/>
      <c r="V38" s="37"/>
      <c r="W38" s="37"/>
      <c r="X38" s="37"/>
      <c r="Y38" s="37"/>
      <c r="Z38" s="37"/>
      <c r="AA38" s="37"/>
      <c r="AB38" s="36" t="str">
        <f aca="true">IF(T38="","",TODAY()-T38)</f>
        <v/>
      </c>
      <c r="AC38" s="36" t="str">
        <f aca="true">IF(T38="","",IF(V38&lt;&gt;"","",IF(TODAY()-T38&gt;=7,"DUE","")))</f>
        <v/>
      </c>
      <c r="AD38" s="36" t="str">
        <f aca="true">IF(T38="","",IF(AND(V38="",TODAY()-T38&gt;=30),"GHOSTED",""))</f>
        <v/>
      </c>
      <c r="AE38" s="36"/>
      <c r="AF38" s="36" t="str">
        <f aca="false">IF(E38="","",LOWER(E38&amp;" | "&amp;F38&amp;" | "&amp;G38))</f>
        <v>woodfield commons | property accountant | boston, ma</v>
      </c>
      <c r="AG38" s="36" t="str">
        <f aca="false">IF(AF38="","",IF(COUNTIF($AF$2:$AF$1000,AF38)&gt;1,"DUP",""))</f>
        <v/>
      </c>
    </row>
    <row r="39" customFormat="false" ht="32.8" hidden="false" customHeight="false" outlineLevel="0" collapsed="false">
      <c r="A39" s="41" t="s">
        <v>282</v>
      </c>
      <c r="B39" s="42" t="n">
        <v>46318</v>
      </c>
      <c r="C39" s="42" t="n">
        <v>46294</v>
      </c>
      <c r="D39" s="41" t="s">
        <v>31</v>
      </c>
      <c r="E39" s="41" t="s">
        <v>283</v>
      </c>
      <c r="F39" s="43" t="s">
        <v>284</v>
      </c>
      <c r="G39" s="41" t="s">
        <v>274</v>
      </c>
      <c r="H39" s="41" t="s">
        <v>80</v>
      </c>
      <c r="I39" s="41" t="s">
        <v>89</v>
      </c>
      <c r="J39" s="41" t="s">
        <v>285</v>
      </c>
      <c r="K39" s="44" t="n">
        <v>77000</v>
      </c>
      <c r="L39" s="44" t="n">
        <v>94000</v>
      </c>
      <c r="M39" s="44" t="n">
        <f aca="false">IF(AND(K39="",L39=""),"",IF(L39="",K39,IF(K39="",L39,ROUND(AVERAGE(K39:L39),0))))</f>
        <v>85500</v>
      </c>
      <c r="N39" s="41" t="s">
        <v>43</v>
      </c>
      <c r="O39" s="45" t="s">
        <v>83</v>
      </c>
      <c r="P39" s="41" t="n">
        <v>3</v>
      </c>
      <c r="Q39" s="43" t="s">
        <v>286</v>
      </c>
      <c r="R39" s="41" t="s">
        <v>85</v>
      </c>
      <c r="S39" s="41" t="s">
        <v>28</v>
      </c>
      <c r="T39" s="42"/>
      <c r="U39" s="42"/>
      <c r="V39" s="42"/>
      <c r="W39" s="42"/>
      <c r="X39" s="42"/>
      <c r="Y39" s="42"/>
      <c r="Z39" s="42"/>
      <c r="AA39" s="42"/>
      <c r="AB39" s="41" t="str">
        <f aca="true">IF(T39="","",TODAY()-T39)</f>
        <v/>
      </c>
      <c r="AC39" s="41" t="str">
        <f aca="true">IF(T39="","",IF(V39&lt;&gt;"","",IF(TODAY()-T39&gt;=7,"DUE","")))</f>
        <v/>
      </c>
      <c r="AD39" s="41" t="str">
        <f aca="true">IF(T39="","",IF(AND(V39="",TODAY()-T39&gt;=30),"GHOSTED",""))</f>
        <v/>
      </c>
      <c r="AE39" s="41"/>
      <c r="AF39" s="41" t="str">
        <f aca="false">IF(E39="","",LOWER(E39&amp;" | "&amp;F39&amp;" | "&amp;G39))</f>
        <v>straumann group | cost accountant (manufacturing) | andover, ma</v>
      </c>
      <c r="AG39" s="41" t="str">
        <f aca="false">IF(AF39="","",IF(COUNTIF($AF$2:$AF$1000,AF39)&gt;1,"DUP",""))</f>
        <v/>
      </c>
    </row>
    <row r="40" customFormat="false" ht="32.8" hidden="false" customHeight="false" outlineLevel="0" collapsed="false">
      <c r="A40" s="36" t="s">
        <v>287</v>
      </c>
      <c r="B40" s="37" t="n">
        <v>46318</v>
      </c>
      <c r="C40" s="37" t="n">
        <v>46267</v>
      </c>
      <c r="D40" s="36" t="s">
        <v>29</v>
      </c>
      <c r="E40" s="36" t="s">
        <v>288</v>
      </c>
      <c r="F40" s="38" t="s">
        <v>289</v>
      </c>
      <c r="G40" s="36" t="s">
        <v>290</v>
      </c>
      <c r="H40" s="36" t="s">
        <v>80</v>
      </c>
      <c r="I40" s="36" t="s">
        <v>89</v>
      </c>
      <c r="J40" s="36" t="s">
        <v>291</v>
      </c>
      <c r="K40" s="39" t="n">
        <v>70000</v>
      </c>
      <c r="L40" s="39"/>
      <c r="M40" s="39" t="n">
        <f aca="false">IF(AND(K40="",L40=""),"",IF(L40="",K40,IF(K40="",L40,ROUND(AVERAGE(K40:L40),0))))</f>
        <v>70000</v>
      </c>
      <c r="N40" s="36" t="s">
        <v>43</v>
      </c>
      <c r="O40" s="40" t="s">
        <v>83</v>
      </c>
      <c r="P40" s="36" t="n">
        <v>5</v>
      </c>
      <c r="Q40" s="38" t="s">
        <v>292</v>
      </c>
      <c r="R40" s="36" t="s">
        <v>85</v>
      </c>
      <c r="S40" s="36" t="s">
        <v>28</v>
      </c>
      <c r="T40" s="37"/>
      <c r="U40" s="37"/>
      <c r="V40" s="37"/>
      <c r="W40" s="37"/>
      <c r="X40" s="37"/>
      <c r="Y40" s="37"/>
      <c r="Z40" s="37"/>
      <c r="AA40" s="37"/>
      <c r="AB40" s="36" t="str">
        <f aca="true">IF(T40="","",TODAY()-T40)</f>
        <v/>
      </c>
      <c r="AC40" s="36" t="str">
        <f aca="true">IF(T40="","",IF(V40&lt;&gt;"","",IF(TODAY()-T40&gt;=7,"DUE","")))</f>
        <v/>
      </c>
      <c r="AD40" s="36" t="str">
        <f aca="true">IF(T40="","",IF(AND(V40="",TODAY()-T40&gt;=30),"GHOSTED",""))</f>
        <v/>
      </c>
      <c r="AE40" s="36"/>
      <c r="AF40" s="36" t="str">
        <f aca="false">IF(E40="","",LOWER(E40&amp;" | "&amp;F40&amp;" | "&amp;G40))</f>
        <v>donovan, sullivan &amp; ryan | tax accountant – entry level | westwood, ma</v>
      </c>
      <c r="AG40" s="36" t="str">
        <f aca="false">IF(AF40="","",IF(COUNTIF($AF$2:$AF$1000,AF40)&gt;1,"DUP",""))</f>
        <v/>
      </c>
    </row>
    <row r="41" customFormat="false" ht="22.35" hidden="false" customHeight="false" outlineLevel="0" collapsed="false">
      <c r="A41" s="41" t="s">
        <v>293</v>
      </c>
      <c r="B41" s="42" t="n">
        <v>46318</v>
      </c>
      <c r="C41" s="42" t="n">
        <v>46259</v>
      </c>
      <c r="D41" s="41" t="s">
        <v>29</v>
      </c>
      <c r="E41" s="41" t="s">
        <v>294</v>
      </c>
      <c r="F41" s="43" t="s">
        <v>295</v>
      </c>
      <c r="G41" s="41" t="s">
        <v>296</v>
      </c>
      <c r="H41" s="41" t="s">
        <v>80</v>
      </c>
      <c r="I41" s="41" t="s">
        <v>89</v>
      </c>
      <c r="J41" s="41" t="s">
        <v>177</v>
      </c>
      <c r="K41" s="44" t="n">
        <v>80000</v>
      </c>
      <c r="L41" s="44" t="n">
        <v>90000</v>
      </c>
      <c r="M41" s="44" t="n">
        <f aca="false">IF(AND(K41="",L41=""),"",IF(L41="",K41,IF(K41="",L41,ROUND(AVERAGE(K41:L41),0))))</f>
        <v>85000</v>
      </c>
      <c r="N41" s="41" t="s">
        <v>43</v>
      </c>
      <c r="O41" s="45" t="s">
        <v>83</v>
      </c>
      <c r="P41" s="41" t="n">
        <v>3</v>
      </c>
      <c r="Q41" s="43" t="s">
        <v>297</v>
      </c>
      <c r="R41" s="41" t="s">
        <v>85</v>
      </c>
      <c r="S41" s="41" t="s">
        <v>28</v>
      </c>
      <c r="T41" s="42"/>
      <c r="U41" s="42"/>
      <c r="V41" s="42"/>
      <c r="W41" s="42"/>
      <c r="X41" s="42"/>
      <c r="Y41" s="42"/>
      <c r="Z41" s="42"/>
      <c r="AA41" s="42"/>
      <c r="AB41" s="41" t="str">
        <f aca="true">IF(T41="","",TODAY()-T41)</f>
        <v/>
      </c>
      <c r="AC41" s="41" t="str">
        <f aca="true">IF(T41="","",IF(V41&lt;&gt;"","",IF(TODAY()-T41&gt;=7,"DUE","")))</f>
        <v/>
      </c>
      <c r="AD41" s="41" t="str">
        <f aca="true">IF(T41="","",IF(AND(V41="",TODAY()-T41&gt;=30),"GHOSTED",""))</f>
        <v/>
      </c>
      <c r="AE41" s="41"/>
      <c r="AF41" s="41" t="str">
        <f aca="false">IF(E41="","",LOWER(E41&amp;" | "&amp;F41&amp;" | "&amp;G41))</f>
        <v>david miller cpa llc | tax accountant | cambridge, ma</v>
      </c>
      <c r="AG41" s="41" t="str">
        <f aca="false">IF(AF41="","",IF(COUNTIF($AF$2:$AF$1000,AF41)&gt;1,"DUP",""))</f>
        <v/>
      </c>
    </row>
    <row r="42" customFormat="false" ht="22.35" hidden="false" customHeight="false" outlineLevel="0" collapsed="false">
      <c r="A42" s="36" t="s">
        <v>298</v>
      </c>
      <c r="B42" s="37" t="n">
        <v>46318</v>
      </c>
      <c r="C42" s="37" t="n">
        <v>46252</v>
      </c>
      <c r="D42" s="36" t="s">
        <v>31</v>
      </c>
      <c r="E42" s="36" t="s">
        <v>299</v>
      </c>
      <c r="F42" s="38" t="s">
        <v>176</v>
      </c>
      <c r="G42" s="36" t="s">
        <v>300</v>
      </c>
      <c r="H42" s="36" t="s">
        <v>80</v>
      </c>
      <c r="I42" s="36" t="s">
        <v>89</v>
      </c>
      <c r="J42" s="36" t="s">
        <v>301</v>
      </c>
      <c r="K42" s="39" t="n">
        <v>85000</v>
      </c>
      <c r="L42" s="39" t="n">
        <v>120000</v>
      </c>
      <c r="M42" s="39" t="n">
        <f aca="false">IF(AND(K42="",L42=""),"",IF(L42="",K42,IF(K42="",L42,ROUND(AVERAGE(K42:L42),0))))</f>
        <v>102500</v>
      </c>
      <c r="N42" s="36" t="s">
        <v>43</v>
      </c>
      <c r="O42" s="40" t="s">
        <v>83</v>
      </c>
      <c r="P42" s="36" t="n">
        <v>3</v>
      </c>
      <c r="Q42" s="38" t="s">
        <v>302</v>
      </c>
      <c r="R42" s="36" t="s">
        <v>85</v>
      </c>
      <c r="S42" s="36" t="s">
        <v>28</v>
      </c>
      <c r="T42" s="37"/>
      <c r="U42" s="37"/>
      <c r="V42" s="37"/>
      <c r="W42" s="37"/>
      <c r="X42" s="37"/>
      <c r="Y42" s="37"/>
      <c r="Z42" s="37"/>
      <c r="AA42" s="37"/>
      <c r="AB42" s="36" t="str">
        <f aca="true">IF(T42="","",TODAY()-T42)</f>
        <v/>
      </c>
      <c r="AC42" s="36" t="str">
        <f aca="true">IF(T42="","",IF(V42&lt;&gt;"","",IF(TODAY()-T42&gt;=7,"DUE","")))</f>
        <v/>
      </c>
      <c r="AD42" s="36" t="str">
        <f aca="true">IF(T42="","",IF(AND(V42="",TODAY()-T42&gt;=30),"GHOSTED",""))</f>
        <v/>
      </c>
      <c r="AE42" s="36"/>
      <c r="AF42" s="36" t="str">
        <f aca="false">IF(E42="","",LOWER(E42&amp;" | "&amp;F42&amp;" | "&amp;G42))</f>
        <v>robert reiser &amp; company | senior accountant | canton, ma</v>
      </c>
      <c r="AG42" s="36" t="str">
        <f aca="false">IF(AF42="","",IF(COUNTIF($AF$2:$AF$1000,AF42)&gt;1,"DUP",""))</f>
        <v/>
      </c>
    </row>
    <row r="43" customFormat="false" ht="22.35" hidden="false" customHeight="false" outlineLevel="0" collapsed="false">
      <c r="A43" s="41" t="s">
        <v>303</v>
      </c>
      <c r="B43" s="42" t="n">
        <v>46318</v>
      </c>
      <c r="C43" s="42" t="n">
        <v>46294</v>
      </c>
      <c r="D43" s="41" t="s">
        <v>34</v>
      </c>
      <c r="E43" s="41" t="s">
        <v>304</v>
      </c>
      <c r="F43" s="43" t="s">
        <v>305</v>
      </c>
      <c r="G43" s="41" t="s">
        <v>306</v>
      </c>
      <c r="H43" s="41" t="s">
        <v>80</v>
      </c>
      <c r="I43" s="41" t="s">
        <v>89</v>
      </c>
      <c r="J43" s="41" t="s">
        <v>307</v>
      </c>
      <c r="K43" s="44" t="n">
        <v>70600</v>
      </c>
      <c r="L43" s="44" t="n">
        <v>110400</v>
      </c>
      <c r="M43" s="44" t="n">
        <f aca="false">IF(AND(K43="",L43=""),"",IF(L43="",K43,IF(K43="",L43,ROUND(AVERAGE(K43:L43),0))))</f>
        <v>90500</v>
      </c>
      <c r="N43" s="41" t="s">
        <v>43</v>
      </c>
      <c r="O43" s="45" t="s">
        <v>83</v>
      </c>
      <c r="P43" s="41" t="n">
        <v>5</v>
      </c>
      <c r="Q43" s="43" t="s">
        <v>308</v>
      </c>
      <c r="R43" s="41" t="s">
        <v>85</v>
      </c>
      <c r="S43" s="41" t="s">
        <v>28</v>
      </c>
      <c r="T43" s="42"/>
      <c r="U43" s="42"/>
      <c r="V43" s="42"/>
      <c r="W43" s="42"/>
      <c r="X43" s="42"/>
      <c r="Y43" s="42"/>
      <c r="Z43" s="42"/>
      <c r="AA43" s="42"/>
      <c r="AB43" s="41" t="str">
        <f aca="true">IF(T43="","",TODAY()-T43)</f>
        <v/>
      </c>
      <c r="AC43" s="41" t="str">
        <f aca="true">IF(T43="","",IF(V43&lt;&gt;"","",IF(TODAY()-T43&gt;=7,"DUE","")))</f>
        <v/>
      </c>
      <c r="AD43" s="41" t="str">
        <f aca="true">IF(T43="","",IF(AND(V43="",TODAY()-T43&gt;=30),"GHOSTED",""))</f>
        <v/>
      </c>
      <c r="AE43" s="41"/>
      <c r="AF43" s="41" t="str">
        <f aca="false">IF(E43="","",LOWER(E43&amp;" | "&amp;F43&amp;" | "&amp;G43))</f>
        <v>new balance | retail financial analyst | lawrence, ma</v>
      </c>
      <c r="AG43" s="41" t="str">
        <f aca="false">IF(AF43="","",IF(COUNTIF($AF$2:$AF$1000,AF43)&gt;1,"DUP",""))</f>
        <v/>
      </c>
    </row>
    <row r="44" customFormat="false" ht="22.35" hidden="false" customHeight="false" outlineLevel="0" collapsed="false">
      <c r="A44" s="36" t="s">
        <v>309</v>
      </c>
      <c r="B44" s="37" t="n">
        <v>46318</v>
      </c>
      <c r="C44" s="37" t="n">
        <v>46314</v>
      </c>
      <c r="D44" s="36" t="s">
        <v>34</v>
      </c>
      <c r="E44" s="36" t="s">
        <v>310</v>
      </c>
      <c r="F44" s="38" t="s">
        <v>311</v>
      </c>
      <c r="G44" s="36" t="s">
        <v>256</v>
      </c>
      <c r="H44" s="36" t="s">
        <v>80</v>
      </c>
      <c r="I44" s="36" t="s">
        <v>89</v>
      </c>
      <c r="J44" s="36" t="s">
        <v>312</v>
      </c>
      <c r="K44" s="39" t="n">
        <v>105000</v>
      </c>
      <c r="L44" s="39" t="n">
        <v>125000</v>
      </c>
      <c r="M44" s="39" t="n">
        <f aca="false">IF(AND(K44="",L44=""),"",IF(L44="",K44,IF(K44="",L44,ROUND(AVERAGE(K44:L44),0))))</f>
        <v>115000</v>
      </c>
      <c r="N44" s="36" t="s">
        <v>43</v>
      </c>
      <c r="O44" s="40" t="s">
        <v>83</v>
      </c>
      <c r="P44" s="36" t="n">
        <v>3</v>
      </c>
      <c r="Q44" s="38" t="s">
        <v>313</v>
      </c>
      <c r="R44" s="36" t="s">
        <v>85</v>
      </c>
      <c r="S44" s="36" t="s">
        <v>28</v>
      </c>
      <c r="T44" s="37"/>
      <c r="U44" s="37"/>
      <c r="V44" s="37"/>
      <c r="W44" s="37"/>
      <c r="X44" s="37"/>
      <c r="Y44" s="37"/>
      <c r="Z44" s="37"/>
      <c r="AA44" s="37"/>
      <c r="AB44" s="36" t="str">
        <f aca="true">IF(T44="","",TODAY()-T44)</f>
        <v/>
      </c>
      <c r="AC44" s="36" t="str">
        <f aca="true">IF(T44="","",IF(V44&lt;&gt;"","",IF(TODAY()-T44&gt;=7,"DUE","")))</f>
        <v/>
      </c>
      <c r="AD44" s="36" t="str">
        <f aca="true">IF(T44="","",IF(AND(V44="",TODAY()-T44&gt;=30),"GHOSTED",""))</f>
        <v/>
      </c>
      <c r="AE44" s="36"/>
      <c r="AF44" s="36" t="str">
        <f aca="false">IF(E44="","",LOWER(E44&amp;" | "&amp;F44&amp;" | "&amp;G44))</f>
        <v>mycronic | senior strategic financial analyst | tewksbury, ma</v>
      </c>
      <c r="AG44" s="36" t="str">
        <f aca="false">IF(AF44="","",IF(COUNTIF($AF$2:$AF$1000,AF44)&gt;1,"DUP",""))</f>
        <v/>
      </c>
    </row>
    <row r="45" customFormat="false" ht="32.8" hidden="false" customHeight="false" outlineLevel="0" collapsed="false">
      <c r="A45" s="41" t="s">
        <v>314</v>
      </c>
      <c r="B45" s="42" t="n">
        <v>46318</v>
      </c>
      <c r="C45" s="42" t="n">
        <v>46147</v>
      </c>
      <c r="D45" s="41" t="s">
        <v>34</v>
      </c>
      <c r="E45" s="41" t="s">
        <v>315</v>
      </c>
      <c r="F45" s="43" t="s">
        <v>316</v>
      </c>
      <c r="G45" s="41" t="s">
        <v>306</v>
      </c>
      <c r="H45" s="41" t="s">
        <v>80</v>
      </c>
      <c r="I45" s="41" t="s">
        <v>89</v>
      </c>
      <c r="J45" s="41" t="s">
        <v>317</v>
      </c>
      <c r="K45" s="44" t="n">
        <v>56615</v>
      </c>
      <c r="L45" s="44" t="n">
        <v>76613</v>
      </c>
      <c r="M45" s="44" t="n">
        <f aca="false">IF(AND(K45="",L45=""),"",IF(L45="",K45,IF(K45="",L45,ROUND(AVERAGE(K45:L45),0))))</f>
        <v>66614</v>
      </c>
      <c r="N45" s="41" t="s">
        <v>43</v>
      </c>
      <c r="O45" s="45" t="s">
        <v>83</v>
      </c>
      <c r="P45" s="41" t="n">
        <v>3</v>
      </c>
      <c r="Q45" s="43" t="s">
        <v>318</v>
      </c>
      <c r="R45" s="41" t="s">
        <v>85</v>
      </c>
      <c r="S45" s="41" t="s">
        <v>28</v>
      </c>
      <c r="T45" s="42"/>
      <c r="U45" s="42"/>
      <c r="V45" s="42"/>
      <c r="W45" s="42"/>
      <c r="X45" s="42"/>
      <c r="Y45" s="42"/>
      <c r="Z45" s="42"/>
      <c r="AA45" s="42"/>
      <c r="AB45" s="41" t="str">
        <f aca="true">IF(T45="","",TODAY()-T45)</f>
        <v/>
      </c>
      <c r="AC45" s="41" t="str">
        <f aca="true">IF(T45="","",IF(V45&lt;&gt;"","",IF(TODAY()-T45&gt;=7,"DUE","")))</f>
        <v/>
      </c>
      <c r="AD45" s="41" t="str">
        <f aca="true">IF(T45="","",IF(AND(V45="",TODAY()-T45&gt;=30),"GHOSTED",""))</f>
        <v/>
      </c>
      <c r="AE45" s="41"/>
      <c r="AF45" s="41" t="str">
        <f aca="false">IF(E45="","",LOWER(E45&amp;" | "&amp;F45&amp;" | "&amp;G45))</f>
        <v>merrimack health | senior reimbursement analyst | lawrence, ma</v>
      </c>
      <c r="AG45" s="41" t="str">
        <f aca="false">IF(AF45="","",IF(COUNTIF($AF$2:$AF$1000,AF45)&gt;1,"DUP",""))</f>
        <v/>
      </c>
    </row>
    <row r="46" customFormat="false" ht="22.35" hidden="false" customHeight="false" outlineLevel="0" collapsed="false">
      <c r="A46" s="36" t="s">
        <v>319</v>
      </c>
      <c r="B46" s="37" t="n">
        <v>46318</v>
      </c>
      <c r="C46" s="37" t="n">
        <v>46197</v>
      </c>
      <c r="D46" s="36" t="s">
        <v>34</v>
      </c>
      <c r="E46" s="36" t="s">
        <v>320</v>
      </c>
      <c r="F46" s="38" t="s">
        <v>321</v>
      </c>
      <c r="G46" s="36" t="s">
        <v>322</v>
      </c>
      <c r="H46" s="36" t="s">
        <v>80</v>
      </c>
      <c r="I46" s="36" t="s">
        <v>89</v>
      </c>
      <c r="J46" s="36" t="s">
        <v>323</v>
      </c>
      <c r="K46" s="39" t="n">
        <v>65000</v>
      </c>
      <c r="L46" s="39" t="n">
        <v>90000</v>
      </c>
      <c r="M46" s="39" t="n">
        <f aca="false">IF(AND(K46="",L46=""),"",IF(L46="",K46,IF(K46="",L46,ROUND(AVERAGE(K46:L46),0))))</f>
        <v>77500</v>
      </c>
      <c r="N46" s="36" t="s">
        <v>43</v>
      </c>
      <c r="O46" s="40" t="s">
        <v>83</v>
      </c>
      <c r="P46" s="36" t="n">
        <v>3</v>
      </c>
      <c r="Q46" s="38" t="s">
        <v>324</v>
      </c>
      <c r="R46" s="36" t="s">
        <v>85</v>
      </c>
      <c r="S46" s="36" t="s">
        <v>28</v>
      </c>
      <c r="T46" s="37"/>
      <c r="U46" s="37"/>
      <c r="V46" s="37"/>
      <c r="W46" s="37"/>
      <c r="X46" s="37"/>
      <c r="Y46" s="37"/>
      <c r="Z46" s="37"/>
      <c r="AA46" s="37"/>
      <c r="AB46" s="36" t="str">
        <f aca="true">IF(T46="","",TODAY()-T46)</f>
        <v/>
      </c>
      <c r="AC46" s="36" t="str">
        <f aca="true">IF(T46="","",IF(V46&lt;&gt;"","",IF(TODAY()-T46&gt;=7,"DUE","")))</f>
        <v/>
      </c>
      <c r="AD46" s="36" t="str">
        <f aca="true">IF(T46="","",IF(AND(V46="",TODAY()-T46&gt;=30),"GHOSTED",""))</f>
        <v/>
      </c>
      <c r="AE46" s="36"/>
      <c r="AF46" s="36" t="str">
        <f aca="false">IF(E46="","",LOWER(E46&amp;" | "&amp;F46&amp;" | "&amp;G46))</f>
        <v>signature healthcare | sr. financial analyst | west bridgewater, ma</v>
      </c>
      <c r="AG46" s="36" t="str">
        <f aca="false">IF(AF46="","",IF(COUNTIF($AF$2:$AF$1000,AF46)&gt;1,"DUP",""))</f>
        <v/>
      </c>
    </row>
    <row r="47" customFormat="false" ht="32.8" hidden="false" customHeight="false" outlineLevel="0" collapsed="false">
      <c r="A47" s="41" t="s">
        <v>325</v>
      </c>
      <c r="B47" s="42" t="n">
        <v>46318</v>
      </c>
      <c r="C47" s="42" t="n">
        <v>46295</v>
      </c>
      <c r="D47" s="41" t="s">
        <v>34</v>
      </c>
      <c r="E47" s="41" t="s">
        <v>326</v>
      </c>
      <c r="F47" s="43" t="s">
        <v>327</v>
      </c>
      <c r="G47" s="41" t="s">
        <v>239</v>
      </c>
      <c r="H47" s="41" t="s">
        <v>80</v>
      </c>
      <c r="I47" s="41" t="s">
        <v>89</v>
      </c>
      <c r="J47" s="41" t="s">
        <v>328</v>
      </c>
      <c r="K47" s="44" t="n">
        <v>89600</v>
      </c>
      <c r="L47" s="44" t="n">
        <v>134400</v>
      </c>
      <c r="M47" s="44" t="n">
        <f aca="false">IF(AND(K47="",L47=""),"",IF(L47="",K47,IF(K47="",L47,ROUND(AVERAGE(K47:L47),0))))</f>
        <v>112000</v>
      </c>
      <c r="N47" s="41" t="s">
        <v>43</v>
      </c>
      <c r="O47" s="45" t="s">
        <v>83</v>
      </c>
      <c r="P47" s="41" t="n">
        <v>3</v>
      </c>
      <c r="Q47" s="43" t="s">
        <v>329</v>
      </c>
      <c r="R47" s="41" t="s">
        <v>85</v>
      </c>
      <c r="S47" s="41" t="s">
        <v>28</v>
      </c>
      <c r="T47" s="42"/>
      <c r="U47" s="42"/>
      <c r="V47" s="42"/>
      <c r="W47" s="42"/>
      <c r="X47" s="42"/>
      <c r="Y47" s="42"/>
      <c r="Z47" s="42"/>
      <c r="AA47" s="42"/>
      <c r="AB47" s="41" t="str">
        <f aca="true">IF(T47="","",TODAY()-T47)</f>
        <v/>
      </c>
      <c r="AC47" s="41" t="str">
        <f aca="true">IF(T47="","",IF(V47&lt;&gt;"","",IF(TODAY()-T47&gt;=7,"DUE","")))</f>
        <v/>
      </c>
      <c r="AD47" s="41" t="str">
        <f aca="true">IF(T47="","",IF(AND(V47="",TODAY()-T47&gt;=30),"GHOSTED",""))</f>
        <v/>
      </c>
      <c r="AE47" s="41"/>
      <c r="AF47" s="41" t="str">
        <f aca="false">IF(E47="","",LOWER(E47&amp;" | "&amp;F47&amp;" | "&amp;G47))</f>
        <v>vertex pharmaceuticals | financial planning &amp; analysis senior analyst | boston, ma</v>
      </c>
      <c r="AG47" s="41" t="str">
        <f aca="false">IF(AF47="","",IF(COUNTIF($AF$2:$AF$1000,AF47)&gt;1,"DUP",""))</f>
        <v/>
      </c>
    </row>
    <row r="48" customFormat="false" ht="32.8" hidden="false" customHeight="false" outlineLevel="0" collapsed="false">
      <c r="A48" s="36" t="s">
        <v>330</v>
      </c>
      <c r="B48" s="37" t="n">
        <v>46318</v>
      </c>
      <c r="C48" s="37" t="n">
        <v>46283</v>
      </c>
      <c r="D48" s="36" t="s">
        <v>31</v>
      </c>
      <c r="E48" s="36" t="s">
        <v>331</v>
      </c>
      <c r="F48" s="38" t="s">
        <v>332</v>
      </c>
      <c r="G48" s="36" t="s">
        <v>333</v>
      </c>
      <c r="H48" s="36" t="s">
        <v>80</v>
      </c>
      <c r="I48" s="36" t="s">
        <v>89</v>
      </c>
      <c r="J48" s="36" t="s">
        <v>334</v>
      </c>
      <c r="K48" s="39" t="n">
        <v>58000</v>
      </c>
      <c r="L48" s="39" t="n">
        <v>64000</v>
      </c>
      <c r="M48" s="39" t="n">
        <f aca="false">IF(AND(K48="",L48=""),"",IF(L48="",K48,IF(K48="",L48,ROUND(AVERAGE(K48:L48),0))))</f>
        <v>61000</v>
      </c>
      <c r="N48" s="36" t="s">
        <v>43</v>
      </c>
      <c r="O48" s="40" t="s">
        <v>83</v>
      </c>
      <c r="P48" s="36" t="n">
        <v>5</v>
      </c>
      <c r="Q48" s="38" t="s">
        <v>335</v>
      </c>
      <c r="R48" s="36" t="s">
        <v>85</v>
      </c>
      <c r="S48" s="36" t="s">
        <v>28</v>
      </c>
      <c r="T48" s="37"/>
      <c r="U48" s="37"/>
      <c r="V48" s="37"/>
      <c r="W48" s="37"/>
      <c r="X48" s="37"/>
      <c r="Y48" s="37"/>
      <c r="Z48" s="37"/>
      <c r="AA48" s="37"/>
      <c r="AB48" s="36" t="str">
        <f aca="true">IF(T48="","",TODAY()-T48)</f>
        <v/>
      </c>
      <c r="AC48" s="36" t="str">
        <f aca="true">IF(T48="","",IF(V48&lt;&gt;"","",IF(TODAY()-T48&gt;=7,"DUE","")))</f>
        <v/>
      </c>
      <c r="AD48" s="36" t="str">
        <f aca="true">IF(T48="","",IF(AND(V48="",TODAY()-T48&gt;=30),"GHOSTED",""))</f>
        <v/>
      </c>
      <c r="AE48" s="36"/>
      <c r="AF48" s="36" t="str">
        <f aca="false">IF(E48="","",LOWER(E48&amp;" | "&amp;F48&amp;" | "&amp;G48))</f>
        <v>worcester envelope company | staff accountant – on site | auburn, ma</v>
      </c>
      <c r="AG48" s="36" t="str">
        <f aca="false">IF(AF48="","",IF(COUNTIF($AF$2:$AF$1000,AF48)&gt;1,"DUP",""))</f>
        <v/>
      </c>
    </row>
    <row r="49" customFormat="false" ht="22.35" hidden="false" customHeight="false" outlineLevel="0" collapsed="false">
      <c r="A49" s="41" t="s">
        <v>336</v>
      </c>
      <c r="B49" s="42" t="n">
        <v>46318</v>
      </c>
      <c r="C49" s="42" t="n">
        <v>46246</v>
      </c>
      <c r="D49" s="41" t="s">
        <v>31</v>
      </c>
      <c r="E49" s="41" t="s">
        <v>337</v>
      </c>
      <c r="F49" s="43" t="s">
        <v>99</v>
      </c>
      <c r="G49" s="41" t="s">
        <v>338</v>
      </c>
      <c r="H49" s="41" t="s">
        <v>80</v>
      </c>
      <c r="I49" s="41" t="s">
        <v>339</v>
      </c>
      <c r="J49" s="41" t="s">
        <v>340</v>
      </c>
      <c r="K49" s="44" t="n">
        <v>52000</v>
      </c>
      <c r="L49" s="44" t="n">
        <v>58240</v>
      </c>
      <c r="M49" s="44" t="n">
        <f aca="false">IF(AND(K49="",L49=""),"",IF(L49="",K49,IF(K49="",L49,ROUND(AVERAGE(K49:L49),0))))</f>
        <v>55120</v>
      </c>
      <c r="N49" s="41" t="s">
        <v>43</v>
      </c>
      <c r="O49" s="45" t="s">
        <v>83</v>
      </c>
      <c r="P49" s="41" t="n">
        <v>3</v>
      </c>
      <c r="Q49" s="43" t="s">
        <v>341</v>
      </c>
      <c r="R49" s="41" t="s">
        <v>85</v>
      </c>
      <c r="S49" s="41" t="s">
        <v>28</v>
      </c>
      <c r="T49" s="42"/>
      <c r="U49" s="42"/>
      <c r="V49" s="42"/>
      <c r="W49" s="42"/>
      <c r="X49" s="42"/>
      <c r="Y49" s="42"/>
      <c r="Z49" s="42"/>
      <c r="AA49" s="42"/>
      <c r="AB49" s="41" t="str">
        <f aca="true">IF(T49="","",TODAY()-T49)</f>
        <v/>
      </c>
      <c r="AC49" s="41" t="str">
        <f aca="true">IF(T49="","",IF(V49&lt;&gt;"","",IF(TODAY()-T49&gt;=7,"DUE","")))</f>
        <v/>
      </c>
      <c r="AD49" s="41" t="str">
        <f aca="true">IF(T49="","",IF(AND(V49="",TODAY()-T49&gt;=30),"GHOSTED",""))</f>
        <v/>
      </c>
      <c r="AE49" s="41"/>
      <c r="AF49" s="41" t="str">
        <f aca="false">IF(E49="","",LOWER(E49&amp;" | "&amp;F49&amp;" | "&amp;G49))</f>
        <v>epic enterprises, inc. | junior accountant | ayer, ma</v>
      </c>
      <c r="AG49" s="41" t="str">
        <f aca="false">IF(AF49="","",IF(COUNTIF($AF$2:$AF$1000,AF49)&gt;1,"DUP",""))</f>
        <v/>
      </c>
    </row>
    <row r="50" customFormat="false" ht="22.35" hidden="false" customHeight="false" outlineLevel="0" collapsed="false">
      <c r="A50" s="36" t="s">
        <v>342</v>
      </c>
      <c r="B50" s="37" t="n">
        <v>46318</v>
      </c>
      <c r="C50" s="37" t="n">
        <v>46314</v>
      </c>
      <c r="D50" s="36" t="s">
        <v>31</v>
      </c>
      <c r="E50" s="36" t="s">
        <v>343</v>
      </c>
      <c r="F50" s="38" t="s">
        <v>344</v>
      </c>
      <c r="G50" s="36" t="s">
        <v>345</v>
      </c>
      <c r="H50" s="36" t="s">
        <v>80</v>
      </c>
      <c r="I50" s="36" t="s">
        <v>89</v>
      </c>
      <c r="J50" s="36" t="s">
        <v>346</v>
      </c>
      <c r="K50" s="39" t="n">
        <v>75000</v>
      </c>
      <c r="L50" s="39"/>
      <c r="M50" s="39" t="n">
        <f aca="false">IF(AND(K50="",L50=""),"",IF(L50="",K50,IF(K50="",L50,ROUND(AVERAGE(K50:L50),0))))</f>
        <v>75000</v>
      </c>
      <c r="N50" s="36" t="s">
        <v>43</v>
      </c>
      <c r="O50" s="40" t="s">
        <v>83</v>
      </c>
      <c r="P50" s="36" t="n">
        <v>3</v>
      </c>
      <c r="Q50" s="38" t="s">
        <v>347</v>
      </c>
      <c r="R50" s="36" t="s">
        <v>85</v>
      </c>
      <c r="S50" s="36" t="s">
        <v>28</v>
      </c>
      <c r="T50" s="37"/>
      <c r="U50" s="37"/>
      <c r="V50" s="37"/>
      <c r="W50" s="37"/>
      <c r="X50" s="37"/>
      <c r="Y50" s="37"/>
      <c r="Z50" s="37"/>
      <c r="AA50" s="37"/>
      <c r="AB50" s="36" t="str">
        <f aca="true">IF(T50="","",TODAY()-T50)</f>
        <v/>
      </c>
      <c r="AC50" s="36" t="str">
        <f aca="true">IF(T50="","",IF(V50&lt;&gt;"","",IF(TODAY()-T50&gt;=7,"DUE","")))</f>
        <v/>
      </c>
      <c r="AD50" s="36" t="str">
        <f aca="true">IF(T50="","",IF(AND(V50="",TODAY()-T50&gt;=30),"GHOSTED",""))</f>
        <v/>
      </c>
      <c r="AE50" s="36"/>
      <c r="AF50" s="36" t="str">
        <f aca="false">IF(E50="","",LOWER(E50&amp;" | "&amp;F50&amp;" | "&amp;G50))</f>
        <v>bernardi auto group | automotive accountant | natick, ma</v>
      </c>
      <c r="AG50" s="36" t="str">
        <f aca="false">IF(AF50="","",IF(COUNTIF($AF$2:$AF$1000,AF50)&gt;1,"DUP",""))</f>
        <v/>
      </c>
    </row>
    <row r="51" customFormat="false" ht="22.35" hidden="false" customHeight="false" outlineLevel="0" collapsed="false">
      <c r="A51" s="41" t="s">
        <v>348</v>
      </c>
      <c r="B51" s="42" t="n">
        <v>46318</v>
      </c>
      <c r="C51" s="42" t="n">
        <v>46301</v>
      </c>
      <c r="D51" s="41" t="s">
        <v>31</v>
      </c>
      <c r="E51" s="41" t="s">
        <v>349</v>
      </c>
      <c r="F51" s="43" t="s">
        <v>273</v>
      </c>
      <c r="G51" s="41" t="s">
        <v>350</v>
      </c>
      <c r="H51" s="41" t="s">
        <v>80</v>
      </c>
      <c r="I51" s="41" t="s">
        <v>89</v>
      </c>
      <c r="J51" s="41" t="s">
        <v>351</v>
      </c>
      <c r="K51" s="44" t="n">
        <v>83200</v>
      </c>
      <c r="L51" s="44" t="n">
        <v>93600</v>
      </c>
      <c r="M51" s="44" t="n">
        <f aca="false">IF(AND(K51="",L51=""),"",IF(L51="",K51,IF(K51="",L51,ROUND(AVERAGE(K51:L51),0))))</f>
        <v>88400</v>
      </c>
      <c r="N51" s="41" t="s">
        <v>43</v>
      </c>
      <c r="O51" s="45" t="s">
        <v>83</v>
      </c>
      <c r="P51" s="41" t="n">
        <v>3</v>
      </c>
      <c r="Q51" s="43" t="s">
        <v>352</v>
      </c>
      <c r="R51" s="41" t="s">
        <v>85</v>
      </c>
      <c r="S51" s="41" t="s">
        <v>28</v>
      </c>
      <c r="T51" s="42"/>
      <c r="U51" s="42"/>
      <c r="V51" s="42"/>
      <c r="W51" s="42"/>
      <c r="X51" s="42"/>
      <c r="Y51" s="42"/>
      <c r="Z51" s="42"/>
      <c r="AA51" s="42"/>
      <c r="AB51" s="41" t="str">
        <f aca="true">IF(T51="","",TODAY()-T51)</f>
        <v/>
      </c>
      <c r="AC51" s="41" t="str">
        <f aca="true">IF(T51="","",IF(V51&lt;&gt;"","",IF(TODAY()-T51&gt;=7,"DUE","")))</f>
        <v/>
      </c>
      <c r="AD51" s="41" t="str">
        <f aca="true">IF(T51="","",IF(AND(V51="",TODAY()-T51&gt;=30),"GHOSTED",""))</f>
        <v/>
      </c>
      <c r="AE51" s="41"/>
      <c r="AF51" s="41" t="str">
        <f aca="false">IF(E51="","",LOWER(E51&amp;" | "&amp;F51&amp;" | "&amp;G51))</f>
        <v>greenwood industries | accounting specialist | ashland, ma</v>
      </c>
      <c r="AG51" s="41" t="str">
        <f aca="false">IF(AF51="","",IF(COUNTIF($AF$2:$AF$1000,AF51)&gt;1,"DUP",""))</f>
        <v/>
      </c>
    </row>
  </sheetData>
  <conditionalFormatting sqref="S2:S1000">
    <cfRule type="cellIs" priority="2" operator="equal" aboveAverage="0" equalAverage="0" bottom="0" percent="0" rank="0" text="" dxfId="8">
      <formula>"Applied"</formula>
    </cfRule>
    <cfRule type="cellIs" priority="3" operator="equal" aboveAverage="0" equalAverage="0" bottom="0" percent="0" rank="0" text="" dxfId="9">
      <formula>"Contacted"</formula>
    </cfRule>
    <cfRule type="cellIs" priority="4" operator="equal" aboveAverage="0" equalAverage="0" bottom="0" percent="0" rank="0" text="" dxfId="10">
      <formula>"Responded"</formula>
    </cfRule>
    <cfRule type="cellIs" priority="5" operator="equal" aboveAverage="0" equalAverage="0" bottom="0" percent="0" rank="0" text="" dxfId="11">
      <formula>"Interview"</formula>
    </cfRule>
    <cfRule type="cellIs" priority="6" operator="equal" aboveAverage="0" equalAverage="0" bottom="0" percent="0" rank="0" text="" dxfId="12">
      <formula>"Offer"</formula>
    </cfRule>
    <cfRule type="cellIs" priority="7" operator="equal" aboveAverage="0" equalAverage="0" bottom="0" percent="0" rank="0" text="" dxfId="13">
      <formula>"Rejected"</formula>
    </cfRule>
    <cfRule type="cellIs" priority="8" operator="equal" aboveAverage="0" equalAverage="0" bottom="0" percent="0" rank="0" text="" dxfId="14">
      <formula>"Ghosted"</formula>
    </cfRule>
    <cfRule type="cellIs" priority="9" operator="equal" aboveAverage="0" equalAverage="0" bottom="0" percent="0" rank="0" text="" dxfId="14">
      <formula>"Declined"</formula>
    </cfRule>
    <cfRule type="cellIs" priority="10" operator="equal" aboveAverage="0" equalAverage="0" bottom="0" percent="0" rank="0" text="" dxfId="15">
      <formula>"Identified"</formula>
    </cfRule>
  </conditionalFormatting>
  <conditionalFormatting sqref="P2:P51">
    <cfRule type="colorScale" priority="1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A2:AG1000">
    <cfRule type="expression" priority="12" aboveAverage="0" equalAverage="0" bottom="0" percent="0" rank="0" text="" dxfId="16">
      <formula>AND($AA2&lt;&gt;"",$AA2&lt;TODAY(),$V2="",$T2&lt;&gt;"")</formula>
    </cfRule>
    <cfRule type="expression" priority="13" aboveAverage="0" equalAverage="0" bottom="0" percent="0" rank="0" text="" dxfId="17">
      <formula>AND($T2&lt;&gt;"",$V2="",TODAY()-$T2&gt;=7)</formula>
    </cfRule>
  </conditionalFormatting>
  <conditionalFormatting sqref="AG2:AG1000">
    <cfRule type="expression" priority="14" aboveAverage="0" equalAverage="0" bottom="0" percent="0" rank="0" text="" dxfId="18">
      <formula>$AG2="DUP"</formula>
    </cfRule>
  </conditionalFormatting>
  <conditionalFormatting sqref="AC2:AC1000">
    <cfRule type="cellIs" priority="15" operator="equal" aboveAverage="0" equalAverage="0" bottom="0" percent="0" rank="0" text="" dxfId="19">
      <formula>"DUE"</formula>
    </cfRule>
  </conditionalFormatting>
  <conditionalFormatting sqref="AD2:AD1000">
    <cfRule type="cellIs" priority="16" operator="equal" aboveAverage="0" equalAverage="0" bottom="0" percent="0" rank="0" text="" dxfId="20">
      <formula>"GHOSTED"</formula>
    </cfRule>
  </conditionalFormatting>
  <dataValidations count="8">
    <dataValidation allowBlank="true" errorStyle="stop" operator="between" showDropDown="false" showErrorMessage="false" showInputMessage="false" sqref="D2:D1000" type="list">
      <formula1>Lists!$A$3:$A$12</formula1>
      <formula2>0</formula2>
    </dataValidation>
    <dataValidation allowBlank="true" errorStyle="stop" operator="between" showDropDown="false" showErrorMessage="false" showInputMessage="false" sqref="H2:H1000" type="list">
      <formula1>Lists!$C$3:$C$6</formula1>
      <formula2>0</formula2>
    </dataValidation>
    <dataValidation allowBlank="true" errorStyle="stop" operator="between" showDropDown="false" showErrorMessage="false" showInputMessage="false" sqref="I2:I1000" type="list">
      <formula1>Lists!$D$3:$D$9</formula1>
      <formula2>0</formula2>
    </dataValidation>
    <dataValidation allowBlank="true" errorStyle="stop" operator="between" showDropDown="false" showErrorMessage="false" showInputMessage="false" sqref="N2:N1000" type="list">
      <formula1>Lists!$E$3:$E$8</formula1>
      <formula2>0</formula2>
    </dataValidation>
    <dataValidation allowBlank="true" errorStyle="stop" operator="between" showDropDown="false" showErrorMessage="false" showInputMessage="false" sqref="P2:P1000" type="list">
      <formula1>Lists!$F$3:$F$7</formula1>
      <formula2>0</formula2>
    </dataValidation>
    <dataValidation allowBlank="true" errorStyle="stop" operator="between" showDropDown="false" showErrorMessage="false" showInputMessage="false" sqref="R2:R1000" type="list">
      <formula1>Lists!$H$3:$H$7</formula1>
      <formula2>0</formula2>
    </dataValidation>
    <dataValidation allowBlank="true" errorStyle="stop" operator="between" showDropDown="false" showErrorMessage="false" showInputMessage="false" sqref="S2:S1000" type="list">
      <formula1>Lists!$B$3:$B$11</formula1>
      <formula2>0</formula2>
    </dataValidation>
    <dataValidation allowBlank="true" errorStyle="stop" operator="between" showDropDown="false" showErrorMessage="false" showInputMessage="false" sqref="AE2:AE1000" type="list">
      <formula1>Lists!$L$3:$L$11</formula1>
      <formula2>0</formula2>
    </dataValidation>
  </dataValidations>
  <hyperlinks>
    <hyperlink ref="O2" r:id="rId1" display="Apply ↗"/>
    <hyperlink ref="O3" r:id="rId2" display="Apply ↗"/>
    <hyperlink ref="O4" r:id="rId3" display="Apply ↗"/>
    <hyperlink ref="O5" r:id="rId4" display="Apply ↗"/>
    <hyperlink ref="O6" r:id="rId5" display="Apply ↗"/>
    <hyperlink ref="O7" r:id="rId6" display="Apply ↗"/>
    <hyperlink ref="O8" r:id="rId7" display="Apply ↗"/>
    <hyperlink ref="O9" r:id="rId8" display="Apply ↗"/>
    <hyperlink ref="O10" r:id="rId9" display="Apply ↗"/>
    <hyperlink ref="O11" r:id="rId10" display="Apply ↗"/>
    <hyperlink ref="O12" r:id="rId11" display="Apply ↗"/>
    <hyperlink ref="O13" r:id="rId12" display="Apply ↗"/>
    <hyperlink ref="O14" r:id="rId13" display="Apply ↗"/>
    <hyperlink ref="O15" r:id="rId14" display="Apply ↗"/>
    <hyperlink ref="O16" r:id="rId15" display="Apply ↗"/>
    <hyperlink ref="O17" r:id="rId16" display="Apply ↗"/>
    <hyperlink ref="O18" r:id="rId17" display="Apply ↗"/>
    <hyperlink ref="O19" r:id="rId18" display="Apply ↗"/>
    <hyperlink ref="O20" r:id="rId19" display="Apply ↗"/>
    <hyperlink ref="O21" r:id="rId20" display="Apply ↗"/>
    <hyperlink ref="O22" r:id="rId21" display="Apply ↗"/>
    <hyperlink ref="O23" r:id="rId22" display="Apply ↗"/>
    <hyperlink ref="O24" r:id="rId23" display="Apply ↗"/>
    <hyperlink ref="O25" r:id="rId24" display="Apply ↗"/>
    <hyperlink ref="O26" r:id="rId25" display="Apply ↗"/>
    <hyperlink ref="O27" r:id="rId26" display="Apply ↗"/>
    <hyperlink ref="O28" r:id="rId27" display="Apply ↗"/>
    <hyperlink ref="O29" r:id="rId28" display="Apply ↗"/>
    <hyperlink ref="O30" r:id="rId29" display="Apply ↗"/>
    <hyperlink ref="O31" r:id="rId30" display="Apply ↗"/>
    <hyperlink ref="O32" r:id="rId31" display="Apply ↗"/>
    <hyperlink ref="O33" r:id="rId32" display="Apply ↗"/>
    <hyperlink ref="O34" r:id="rId33" display="Apply ↗"/>
    <hyperlink ref="O35" r:id="rId34" display="Apply ↗"/>
    <hyperlink ref="O36" r:id="rId35" display="Apply ↗"/>
    <hyperlink ref="O37" r:id="rId36" display="Apply ↗"/>
    <hyperlink ref="O38" r:id="rId37" display="Apply ↗"/>
    <hyperlink ref="O39" r:id="rId38" display="Apply ↗"/>
    <hyperlink ref="O40" r:id="rId39" display="Apply ↗"/>
    <hyperlink ref="O41" r:id="rId40" display="Apply ↗"/>
    <hyperlink ref="O42" r:id="rId41" display="Apply ↗"/>
    <hyperlink ref="O43" r:id="rId42" display="Apply ↗"/>
    <hyperlink ref="O44" r:id="rId43" display="Apply ↗"/>
    <hyperlink ref="O45" r:id="rId44" display="Apply ↗"/>
    <hyperlink ref="O46" r:id="rId45" display="Apply ↗"/>
    <hyperlink ref="O47" r:id="rId46" display="Apply ↗"/>
    <hyperlink ref="O48" r:id="rId47" display="Apply ↗"/>
    <hyperlink ref="O49" r:id="rId48" display="Apply ↗"/>
    <hyperlink ref="O50" r:id="rId49" display="Apply ↗"/>
    <hyperlink ref="O51" r:id="rId50" display="Apply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5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8B"/>
    <pageSetUpPr fitToPage="false"/>
  </sheetPr>
  <dimension ref="A1:N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6"/>
    <col collapsed="false" customWidth="true" hidden="false" outlineLevel="0" max="5" min="5" style="0" width="13"/>
    <col collapsed="false" customWidth="true" hidden="false" outlineLevel="0" max="9" min="6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6"/>
    <col collapsed="false" customWidth="true" hidden="false" outlineLevel="0" max="13" min="13" style="0" width="10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46" t="s">
        <v>49</v>
      </c>
      <c r="B1" s="46" t="s">
        <v>52</v>
      </c>
      <c r="C1" s="46" t="s">
        <v>53</v>
      </c>
      <c r="D1" s="46" t="s">
        <v>353</v>
      </c>
      <c r="E1" s="46" t="s">
        <v>65</v>
      </c>
      <c r="F1" s="46" t="s">
        <v>8</v>
      </c>
      <c r="G1" s="46" t="s">
        <v>16</v>
      </c>
      <c r="H1" s="46" t="s">
        <v>17</v>
      </c>
      <c r="I1" s="46" t="s">
        <v>18</v>
      </c>
      <c r="J1" s="46" t="s">
        <v>19</v>
      </c>
      <c r="K1" s="46" t="s">
        <v>68</v>
      </c>
      <c r="L1" s="46" t="s">
        <v>354</v>
      </c>
      <c r="M1" s="46" t="s">
        <v>70</v>
      </c>
      <c r="N1" s="46" t="s">
        <v>355</v>
      </c>
    </row>
    <row r="2" customFormat="false" ht="22.35" hidden="false" customHeight="false" outlineLevel="0" collapsed="false">
      <c r="A2" s="41" t="str">
        <f aca="false">IF(Jobs!$A2="","",Jobs!$A2)</f>
        <v>2026-10-001</v>
      </c>
      <c r="B2" s="13" t="str">
        <f aca="false">IF(Jobs!$A2="","",Jobs!$E2)</f>
        <v>Feature Solutions</v>
      </c>
      <c r="C2" s="13" t="str">
        <f aca="false">IF(Jobs!$A2="","",Jobs!$F2)</f>
        <v>Bookkeeper – Part-Time (QuickBooks Online)</v>
      </c>
      <c r="D2" s="41" t="n">
        <f aca="false">IF(Jobs!$A2="","",Jobs!$P2)</f>
        <v>5</v>
      </c>
      <c r="E2" s="41" t="str">
        <f aca="false">IF(Jobs!$A2="","",Jobs!$S2)</f>
        <v>Identified</v>
      </c>
      <c r="F2" s="42" t="n">
        <f aca="false">IF(Jobs!$A2="","",Jobs!$T2)</f>
        <v>0</v>
      </c>
      <c r="G2" s="42" t="n">
        <f aca="false">IF(Jobs!$A2="","",Jobs!$U2)</f>
        <v>0</v>
      </c>
      <c r="H2" s="42" t="n">
        <f aca="false">IF(Jobs!$A2="","",Jobs!$V2)</f>
        <v>0</v>
      </c>
      <c r="I2" s="42" t="n">
        <f aca="false">IF(Jobs!$A2="","",Jobs!$X2)</f>
        <v>0</v>
      </c>
      <c r="J2" s="42" t="n">
        <f aca="false">IF(Jobs!$A2="","",Jobs!$Y2)</f>
        <v>0</v>
      </c>
      <c r="K2" s="42" t="n">
        <f aca="false">IF(Jobs!$A2="","",Jobs!$Z2)</f>
        <v>0</v>
      </c>
      <c r="L2" s="41" t="str">
        <f aca="false">IF(Jobs!$A2="","",IF(Jobs!$Z2&lt;&gt;"","Rejected",IF(Jobs!$Y2&lt;&gt;"","Offer",IF(Jobs!$X2&lt;&gt;"","Interview",IF(Jobs!$V2&lt;&gt;"","Responded",IF(Jobs!$U2&lt;&gt;"","Contacted",IF(Jobs!$T2&lt;&gt;"","Applied","Not applied yet")))))))</f>
        <v>Not applied yet</v>
      </c>
      <c r="M2" s="41" t="str">
        <f aca="false">IF(Jobs!$A2="","",Jobs!$AB2)</f>
        <v/>
      </c>
      <c r="N2" s="42" t="n">
        <f aca="false">IF(Jobs!$A2="","",Jobs!$AA2)</f>
        <v>0</v>
      </c>
    </row>
    <row r="3" customFormat="false" ht="15" hidden="false" customHeight="false" outlineLevel="0" collapsed="false">
      <c r="A3" s="41" t="str">
        <f aca="false">IF(Jobs!$A3="","",Jobs!$A3)</f>
        <v>2026-10-002</v>
      </c>
      <c r="B3" s="13" t="str">
        <f aca="false">IF(Jobs!$A3="","",Jobs!$E3)</f>
        <v>Business Cents</v>
      </c>
      <c r="C3" s="13" t="str">
        <f aca="false">IF(Jobs!$A3="","",Jobs!$F3)</f>
        <v>Senior Bookkeeper</v>
      </c>
      <c r="D3" s="41" t="n">
        <f aca="false">IF(Jobs!$A3="","",Jobs!$P3)</f>
        <v>5</v>
      </c>
      <c r="E3" s="41" t="str">
        <f aca="false">IF(Jobs!$A3="","",Jobs!$S3)</f>
        <v>Identified</v>
      </c>
      <c r="F3" s="42" t="n">
        <f aca="false">IF(Jobs!$A3="","",Jobs!$T3)</f>
        <v>0</v>
      </c>
      <c r="G3" s="42" t="n">
        <f aca="false">IF(Jobs!$A3="","",Jobs!$U3)</f>
        <v>0</v>
      </c>
      <c r="H3" s="42" t="n">
        <f aca="false">IF(Jobs!$A3="","",Jobs!$V3)</f>
        <v>0</v>
      </c>
      <c r="I3" s="42" t="n">
        <f aca="false">IF(Jobs!$A3="","",Jobs!$X3)</f>
        <v>0</v>
      </c>
      <c r="J3" s="42" t="n">
        <f aca="false">IF(Jobs!$A3="","",Jobs!$Y3)</f>
        <v>0</v>
      </c>
      <c r="K3" s="42" t="n">
        <f aca="false">IF(Jobs!$A3="","",Jobs!$Z3)</f>
        <v>0</v>
      </c>
      <c r="L3" s="41" t="str">
        <f aca="false">IF(Jobs!$A3="","",IF(Jobs!$Z3&lt;&gt;"","Rejected",IF(Jobs!$Y3&lt;&gt;"","Offer",IF(Jobs!$X3&lt;&gt;"","Interview",IF(Jobs!$V3&lt;&gt;"","Responded",IF(Jobs!$U3&lt;&gt;"","Contacted",IF(Jobs!$T3&lt;&gt;"","Applied","Not applied yet")))))))</f>
        <v>Not applied yet</v>
      </c>
      <c r="M3" s="41" t="str">
        <f aca="false">IF(Jobs!$A3="","",Jobs!$AB3)</f>
        <v/>
      </c>
      <c r="N3" s="42" t="n">
        <f aca="false">IF(Jobs!$A3="","",Jobs!$AA3)</f>
        <v>0</v>
      </c>
    </row>
    <row r="4" customFormat="false" ht="15" hidden="false" customHeight="false" outlineLevel="0" collapsed="false">
      <c r="A4" s="41" t="str">
        <f aca="false">IF(Jobs!$A4="","",Jobs!$A4)</f>
        <v>2026-10-003</v>
      </c>
      <c r="B4" s="13" t="str">
        <f aca="false">IF(Jobs!$A4="","",Jobs!$E4)</f>
        <v>3 Lions Logistics</v>
      </c>
      <c r="C4" s="13" t="str">
        <f aca="false">IF(Jobs!$A4="","",Jobs!$F4)</f>
        <v>Bookkeeper/ Staff Accountant</v>
      </c>
      <c r="D4" s="41" t="n">
        <f aca="false">IF(Jobs!$A4="","",Jobs!$P4)</f>
        <v>5</v>
      </c>
      <c r="E4" s="41" t="str">
        <f aca="false">IF(Jobs!$A4="","",Jobs!$S4)</f>
        <v>Identified</v>
      </c>
      <c r="F4" s="42" t="n">
        <f aca="false">IF(Jobs!$A4="","",Jobs!$T4)</f>
        <v>0</v>
      </c>
      <c r="G4" s="42" t="n">
        <f aca="false">IF(Jobs!$A4="","",Jobs!$U4)</f>
        <v>0</v>
      </c>
      <c r="H4" s="42" t="n">
        <f aca="false">IF(Jobs!$A4="","",Jobs!$V4)</f>
        <v>0</v>
      </c>
      <c r="I4" s="42" t="n">
        <f aca="false">IF(Jobs!$A4="","",Jobs!$X4)</f>
        <v>0</v>
      </c>
      <c r="J4" s="42" t="n">
        <f aca="false">IF(Jobs!$A4="","",Jobs!$Y4)</f>
        <v>0</v>
      </c>
      <c r="K4" s="42" t="n">
        <f aca="false">IF(Jobs!$A4="","",Jobs!$Z4)</f>
        <v>0</v>
      </c>
      <c r="L4" s="41" t="str">
        <f aca="false">IF(Jobs!$A4="","",IF(Jobs!$Z4&lt;&gt;"","Rejected",IF(Jobs!$Y4&lt;&gt;"","Offer",IF(Jobs!$X4&lt;&gt;"","Interview",IF(Jobs!$V4&lt;&gt;"","Responded",IF(Jobs!$U4&lt;&gt;"","Contacted",IF(Jobs!$T4&lt;&gt;"","Applied","Not applied yet")))))))</f>
        <v>Not applied yet</v>
      </c>
      <c r="M4" s="41" t="str">
        <f aca="false">IF(Jobs!$A4="","",Jobs!$AB4)</f>
        <v/>
      </c>
      <c r="N4" s="42" t="n">
        <f aca="false">IF(Jobs!$A4="","",Jobs!$AA4)</f>
        <v>0</v>
      </c>
    </row>
    <row r="5" customFormat="false" ht="15" hidden="false" customHeight="false" outlineLevel="0" collapsed="false">
      <c r="A5" s="41" t="str">
        <f aca="false">IF(Jobs!$A5="","",Jobs!$A5)</f>
        <v>2026-10-004</v>
      </c>
      <c r="B5" s="13" t="str">
        <f aca="false">IF(Jobs!$A5="","",Jobs!$E5)</f>
        <v>3 Lions Logistics</v>
      </c>
      <c r="C5" s="13" t="str">
        <f aca="false">IF(Jobs!$A5="","",Jobs!$F5)</f>
        <v>Junior Accountant</v>
      </c>
      <c r="D5" s="41" t="n">
        <f aca="false">IF(Jobs!$A5="","",Jobs!$P5)</f>
        <v>5</v>
      </c>
      <c r="E5" s="41" t="str">
        <f aca="false">IF(Jobs!$A5="","",Jobs!$S5)</f>
        <v>Identified</v>
      </c>
      <c r="F5" s="42" t="n">
        <f aca="false">IF(Jobs!$A5="","",Jobs!$T5)</f>
        <v>0</v>
      </c>
      <c r="G5" s="42" t="n">
        <f aca="false">IF(Jobs!$A5="","",Jobs!$U5)</f>
        <v>0</v>
      </c>
      <c r="H5" s="42" t="n">
        <f aca="false">IF(Jobs!$A5="","",Jobs!$V5)</f>
        <v>0</v>
      </c>
      <c r="I5" s="42" t="n">
        <f aca="false">IF(Jobs!$A5="","",Jobs!$X5)</f>
        <v>0</v>
      </c>
      <c r="J5" s="42" t="n">
        <f aca="false">IF(Jobs!$A5="","",Jobs!$Y5)</f>
        <v>0</v>
      </c>
      <c r="K5" s="42" t="n">
        <f aca="false">IF(Jobs!$A5="","",Jobs!$Z5)</f>
        <v>0</v>
      </c>
      <c r="L5" s="41" t="str">
        <f aca="false">IF(Jobs!$A5="","",IF(Jobs!$Z5&lt;&gt;"","Rejected",IF(Jobs!$Y5&lt;&gt;"","Offer",IF(Jobs!$X5&lt;&gt;"","Interview",IF(Jobs!$V5&lt;&gt;"","Responded",IF(Jobs!$U5&lt;&gt;"","Contacted",IF(Jobs!$T5&lt;&gt;"","Applied","Not applied yet")))))))</f>
        <v>Not applied yet</v>
      </c>
      <c r="M5" s="41" t="str">
        <f aca="false">IF(Jobs!$A5="","",Jobs!$AB5)</f>
        <v/>
      </c>
      <c r="N5" s="42" t="n">
        <f aca="false">IF(Jobs!$A5="","",Jobs!$AA5)</f>
        <v>0</v>
      </c>
    </row>
    <row r="6" customFormat="false" ht="15" hidden="false" customHeight="false" outlineLevel="0" collapsed="false">
      <c r="A6" s="41" t="str">
        <f aca="false">IF(Jobs!$A6="","",Jobs!$A6)</f>
        <v>2026-10-005</v>
      </c>
      <c r="B6" s="13" t="str">
        <f aca="false">IF(Jobs!$A6="","",Jobs!$E6)</f>
        <v>Scott Electronics, Inc.</v>
      </c>
      <c r="C6" s="13" t="str">
        <f aca="false">IF(Jobs!$A6="","",Jobs!$F6)</f>
        <v>Staff Accountant</v>
      </c>
      <c r="D6" s="41" t="n">
        <f aca="false">IF(Jobs!$A6="","",Jobs!$P6)</f>
        <v>5</v>
      </c>
      <c r="E6" s="41" t="str">
        <f aca="false">IF(Jobs!$A6="","",Jobs!$S6)</f>
        <v>Identified</v>
      </c>
      <c r="F6" s="42" t="n">
        <f aca="false">IF(Jobs!$A6="","",Jobs!$T6)</f>
        <v>0</v>
      </c>
      <c r="G6" s="42" t="n">
        <f aca="false">IF(Jobs!$A6="","",Jobs!$U6)</f>
        <v>0</v>
      </c>
      <c r="H6" s="42" t="n">
        <f aca="false">IF(Jobs!$A6="","",Jobs!$V6)</f>
        <v>0</v>
      </c>
      <c r="I6" s="42" t="n">
        <f aca="false">IF(Jobs!$A6="","",Jobs!$X6)</f>
        <v>0</v>
      </c>
      <c r="J6" s="42" t="n">
        <f aca="false">IF(Jobs!$A6="","",Jobs!$Y6)</f>
        <v>0</v>
      </c>
      <c r="K6" s="42" t="n">
        <f aca="false">IF(Jobs!$A6="","",Jobs!$Z6)</f>
        <v>0</v>
      </c>
      <c r="L6" s="41" t="str">
        <f aca="false">IF(Jobs!$A6="","",IF(Jobs!$Z6&lt;&gt;"","Rejected",IF(Jobs!$Y6&lt;&gt;"","Offer",IF(Jobs!$X6&lt;&gt;"","Interview",IF(Jobs!$V6&lt;&gt;"","Responded",IF(Jobs!$U6&lt;&gt;"","Contacted",IF(Jobs!$T6&lt;&gt;"","Applied","Not applied yet")))))))</f>
        <v>Not applied yet</v>
      </c>
      <c r="M6" s="41" t="str">
        <f aca="false">IF(Jobs!$A6="","",Jobs!$AB6)</f>
        <v/>
      </c>
      <c r="N6" s="42" t="n">
        <f aca="false">IF(Jobs!$A6="","",Jobs!$AA6)</f>
        <v>0</v>
      </c>
    </row>
    <row r="7" customFormat="false" ht="15" hidden="false" customHeight="false" outlineLevel="0" collapsed="false">
      <c r="A7" s="41" t="str">
        <f aca="false">IF(Jobs!$A7="","",Jobs!$A7)</f>
        <v>2026-10-006</v>
      </c>
      <c r="B7" s="13" t="str">
        <f aca="false">IF(Jobs!$A7="","",Jobs!$E7)</f>
        <v>Paul Davis Restoration</v>
      </c>
      <c r="C7" s="13" t="str">
        <f aca="false">IF(Jobs!$A7="","",Jobs!$F7)</f>
        <v>Reconstruction Job Cost Accountant</v>
      </c>
      <c r="D7" s="41" t="n">
        <f aca="false">IF(Jobs!$A7="","",Jobs!$P7)</f>
        <v>3</v>
      </c>
      <c r="E7" s="41" t="str">
        <f aca="false">IF(Jobs!$A7="","",Jobs!$S7)</f>
        <v>Identified</v>
      </c>
      <c r="F7" s="42" t="n">
        <f aca="false">IF(Jobs!$A7="","",Jobs!$T7)</f>
        <v>0</v>
      </c>
      <c r="G7" s="42" t="n">
        <f aca="false">IF(Jobs!$A7="","",Jobs!$U7)</f>
        <v>0</v>
      </c>
      <c r="H7" s="42" t="n">
        <f aca="false">IF(Jobs!$A7="","",Jobs!$V7)</f>
        <v>0</v>
      </c>
      <c r="I7" s="42" t="n">
        <f aca="false">IF(Jobs!$A7="","",Jobs!$X7)</f>
        <v>0</v>
      </c>
      <c r="J7" s="42" t="n">
        <f aca="false">IF(Jobs!$A7="","",Jobs!$Y7)</f>
        <v>0</v>
      </c>
      <c r="K7" s="42" t="n">
        <f aca="false">IF(Jobs!$A7="","",Jobs!$Z7)</f>
        <v>0</v>
      </c>
      <c r="L7" s="41" t="str">
        <f aca="false">IF(Jobs!$A7="","",IF(Jobs!$Z7&lt;&gt;"","Rejected",IF(Jobs!$Y7&lt;&gt;"","Offer",IF(Jobs!$X7&lt;&gt;"","Interview",IF(Jobs!$V7&lt;&gt;"","Responded",IF(Jobs!$U7&lt;&gt;"","Contacted",IF(Jobs!$T7&lt;&gt;"","Applied","Not applied yet")))))))</f>
        <v>Not applied yet</v>
      </c>
      <c r="M7" s="41" t="str">
        <f aca="false">IF(Jobs!$A7="","",Jobs!$AB7)</f>
        <v/>
      </c>
      <c r="N7" s="42" t="n">
        <f aca="false">IF(Jobs!$A7="","",Jobs!$AA7)</f>
        <v>0</v>
      </c>
    </row>
    <row r="8" customFormat="false" ht="15" hidden="false" customHeight="false" outlineLevel="0" collapsed="false">
      <c r="A8" s="41" t="str">
        <f aca="false">IF(Jobs!$A8="","",Jobs!$A8)</f>
        <v>2026-10-007</v>
      </c>
      <c r="B8" s="13" t="str">
        <f aca="false">IF(Jobs!$A8="","",Jobs!$E8)</f>
        <v>Goedecke Flooring &amp; Design</v>
      </c>
      <c r="C8" s="13" t="str">
        <f aca="false">IF(Jobs!$A8="","",Jobs!$F8)</f>
        <v>Bookkeeper &amp; HR Administrator</v>
      </c>
      <c r="D8" s="41" t="n">
        <f aca="false">IF(Jobs!$A8="","",Jobs!$P8)</f>
        <v>5</v>
      </c>
      <c r="E8" s="41" t="str">
        <f aca="false">IF(Jobs!$A8="","",Jobs!$S8)</f>
        <v>Identified</v>
      </c>
      <c r="F8" s="42" t="n">
        <f aca="false">IF(Jobs!$A8="","",Jobs!$T8)</f>
        <v>0</v>
      </c>
      <c r="G8" s="42" t="n">
        <f aca="false">IF(Jobs!$A8="","",Jobs!$U8)</f>
        <v>0</v>
      </c>
      <c r="H8" s="42" t="n">
        <f aca="false">IF(Jobs!$A8="","",Jobs!$V8)</f>
        <v>0</v>
      </c>
      <c r="I8" s="42" t="n">
        <f aca="false">IF(Jobs!$A8="","",Jobs!$X8)</f>
        <v>0</v>
      </c>
      <c r="J8" s="42" t="n">
        <f aca="false">IF(Jobs!$A8="","",Jobs!$Y8)</f>
        <v>0</v>
      </c>
      <c r="K8" s="42" t="n">
        <f aca="false">IF(Jobs!$A8="","",Jobs!$Z8)</f>
        <v>0</v>
      </c>
      <c r="L8" s="41" t="str">
        <f aca="false">IF(Jobs!$A8="","",IF(Jobs!$Z8&lt;&gt;"","Rejected",IF(Jobs!$Y8&lt;&gt;"","Offer",IF(Jobs!$X8&lt;&gt;"","Interview",IF(Jobs!$V8&lt;&gt;"","Responded",IF(Jobs!$U8&lt;&gt;"","Contacted",IF(Jobs!$T8&lt;&gt;"","Applied","Not applied yet")))))))</f>
        <v>Not applied yet</v>
      </c>
      <c r="M8" s="41" t="str">
        <f aca="false">IF(Jobs!$A8="","",Jobs!$AB8)</f>
        <v/>
      </c>
      <c r="N8" s="42" t="n">
        <f aca="false">IF(Jobs!$A8="","",Jobs!$AA8)</f>
        <v>0</v>
      </c>
    </row>
    <row r="9" customFormat="false" ht="15" hidden="false" customHeight="false" outlineLevel="0" collapsed="false">
      <c r="A9" s="41" t="str">
        <f aca="false">IF(Jobs!$A9="","",Jobs!$A9)</f>
        <v>2026-10-008</v>
      </c>
      <c r="B9" s="13" t="str">
        <f aca="false">IF(Jobs!$A9="","",Jobs!$E9)</f>
        <v>Generator Pro / Spa Guy</v>
      </c>
      <c r="C9" s="13" t="str">
        <f aca="false">IF(Jobs!$A9="","",Jobs!$F9)</f>
        <v>Assistant Bookkeeper / Office Assistant</v>
      </c>
      <c r="D9" s="41" t="n">
        <f aca="false">IF(Jobs!$A9="","",Jobs!$P9)</f>
        <v>3</v>
      </c>
      <c r="E9" s="41" t="str">
        <f aca="false">IF(Jobs!$A9="","",Jobs!$S9)</f>
        <v>Identified</v>
      </c>
      <c r="F9" s="42" t="n">
        <f aca="false">IF(Jobs!$A9="","",Jobs!$T9)</f>
        <v>0</v>
      </c>
      <c r="G9" s="42" t="n">
        <f aca="false">IF(Jobs!$A9="","",Jobs!$U9)</f>
        <v>0</v>
      </c>
      <c r="H9" s="42" t="n">
        <f aca="false">IF(Jobs!$A9="","",Jobs!$V9)</f>
        <v>0</v>
      </c>
      <c r="I9" s="42" t="n">
        <f aca="false">IF(Jobs!$A9="","",Jobs!$X9)</f>
        <v>0</v>
      </c>
      <c r="J9" s="42" t="n">
        <f aca="false">IF(Jobs!$A9="","",Jobs!$Y9)</f>
        <v>0</v>
      </c>
      <c r="K9" s="42" t="n">
        <f aca="false">IF(Jobs!$A9="","",Jobs!$Z9)</f>
        <v>0</v>
      </c>
      <c r="L9" s="41" t="str">
        <f aca="false">IF(Jobs!$A9="","",IF(Jobs!$Z9&lt;&gt;"","Rejected",IF(Jobs!$Y9&lt;&gt;"","Offer",IF(Jobs!$X9&lt;&gt;"","Interview",IF(Jobs!$V9&lt;&gt;"","Responded",IF(Jobs!$U9&lt;&gt;"","Contacted",IF(Jobs!$T9&lt;&gt;"","Applied","Not applied yet")))))))</f>
        <v>Not applied yet</v>
      </c>
      <c r="M9" s="41" t="str">
        <f aca="false">IF(Jobs!$A9="","",Jobs!$AB9)</f>
        <v/>
      </c>
      <c r="N9" s="42" t="n">
        <f aca="false">IF(Jobs!$A9="","",Jobs!$AA9)</f>
        <v>0</v>
      </c>
    </row>
    <row r="10" customFormat="false" ht="22.35" hidden="false" customHeight="false" outlineLevel="0" collapsed="false">
      <c r="A10" s="41" t="str">
        <f aca="false">IF(Jobs!$A10="","",Jobs!$A10)</f>
        <v>2026-10-009</v>
      </c>
      <c r="B10" s="13" t="str">
        <f aca="false">IF(Jobs!$A10="","",Jobs!$E10)</f>
        <v>Stephens-Marquis Associates</v>
      </c>
      <c r="C10" s="13" t="str">
        <f aca="false">IF(Jobs!$A10="","",Jobs!$F10)</f>
        <v>Accounting Administrator</v>
      </c>
      <c r="D10" s="41" t="n">
        <f aca="false">IF(Jobs!$A10="","",Jobs!$P10)</f>
        <v>5</v>
      </c>
      <c r="E10" s="41" t="str">
        <f aca="false">IF(Jobs!$A10="","",Jobs!$S10)</f>
        <v>Identified</v>
      </c>
      <c r="F10" s="42" t="n">
        <f aca="false">IF(Jobs!$A10="","",Jobs!$T10)</f>
        <v>0</v>
      </c>
      <c r="G10" s="42" t="n">
        <f aca="false">IF(Jobs!$A10="","",Jobs!$U10)</f>
        <v>0</v>
      </c>
      <c r="H10" s="42" t="n">
        <f aca="false">IF(Jobs!$A10="","",Jobs!$V10)</f>
        <v>0</v>
      </c>
      <c r="I10" s="42" t="n">
        <f aca="false">IF(Jobs!$A10="","",Jobs!$X10)</f>
        <v>0</v>
      </c>
      <c r="J10" s="42" t="n">
        <f aca="false">IF(Jobs!$A10="","",Jobs!$Y10)</f>
        <v>0</v>
      </c>
      <c r="K10" s="42" t="n">
        <f aca="false">IF(Jobs!$A10="","",Jobs!$Z10)</f>
        <v>0</v>
      </c>
      <c r="L10" s="41" t="str">
        <f aca="false">IF(Jobs!$A10="","",IF(Jobs!$Z10&lt;&gt;"","Rejected",IF(Jobs!$Y10&lt;&gt;"","Offer",IF(Jobs!$X10&lt;&gt;"","Interview",IF(Jobs!$V10&lt;&gt;"","Responded",IF(Jobs!$U10&lt;&gt;"","Contacted",IF(Jobs!$T10&lt;&gt;"","Applied","Not applied yet")))))))</f>
        <v>Not applied yet</v>
      </c>
      <c r="M10" s="41" t="str">
        <f aca="false">IF(Jobs!$A10="","",Jobs!$AB10)</f>
        <v/>
      </c>
      <c r="N10" s="42" t="n">
        <f aca="false">IF(Jobs!$A10="","",Jobs!$AA10)</f>
        <v>0</v>
      </c>
    </row>
    <row r="11" customFormat="false" ht="15" hidden="false" customHeight="false" outlineLevel="0" collapsed="false">
      <c r="A11" s="41" t="str">
        <f aca="false">IF(Jobs!$A11="","",Jobs!$A11)</f>
        <v>2026-10-010</v>
      </c>
      <c r="B11" s="13" t="str">
        <f aca="false">IF(Jobs!$A11="","",Jobs!$E11)</f>
        <v>JLS Mailing Services</v>
      </c>
      <c r="C11" s="13" t="str">
        <f aca="false">IF(Jobs!$A11="","",Jobs!$F11)</f>
        <v>Bookkeeper/Accounts Administrator</v>
      </c>
      <c r="D11" s="41" t="n">
        <f aca="false">IF(Jobs!$A11="","",Jobs!$P11)</f>
        <v>5</v>
      </c>
      <c r="E11" s="41" t="str">
        <f aca="false">IF(Jobs!$A11="","",Jobs!$S11)</f>
        <v>Identified</v>
      </c>
      <c r="F11" s="42" t="n">
        <f aca="false">IF(Jobs!$A11="","",Jobs!$T11)</f>
        <v>0</v>
      </c>
      <c r="G11" s="42" t="n">
        <f aca="false">IF(Jobs!$A11="","",Jobs!$U11)</f>
        <v>0</v>
      </c>
      <c r="H11" s="42" t="n">
        <f aca="false">IF(Jobs!$A11="","",Jobs!$V11)</f>
        <v>0</v>
      </c>
      <c r="I11" s="42" t="n">
        <f aca="false">IF(Jobs!$A11="","",Jobs!$X11)</f>
        <v>0</v>
      </c>
      <c r="J11" s="42" t="n">
        <f aca="false">IF(Jobs!$A11="","",Jobs!$Y11)</f>
        <v>0</v>
      </c>
      <c r="K11" s="42" t="n">
        <f aca="false">IF(Jobs!$A11="","",Jobs!$Z11)</f>
        <v>0</v>
      </c>
      <c r="L11" s="41" t="str">
        <f aca="false">IF(Jobs!$A11="","",IF(Jobs!$Z11&lt;&gt;"","Rejected",IF(Jobs!$Y11&lt;&gt;"","Offer",IF(Jobs!$X11&lt;&gt;"","Interview",IF(Jobs!$V11&lt;&gt;"","Responded",IF(Jobs!$U11&lt;&gt;"","Contacted",IF(Jobs!$T11&lt;&gt;"","Applied","Not applied yet")))))))</f>
        <v>Not applied yet</v>
      </c>
      <c r="M11" s="41" t="str">
        <f aca="false">IF(Jobs!$A11="","",Jobs!$AB11)</f>
        <v/>
      </c>
      <c r="N11" s="42" t="n">
        <f aca="false">IF(Jobs!$A11="","",Jobs!$AA11)</f>
        <v>0</v>
      </c>
    </row>
    <row r="12" customFormat="false" ht="15" hidden="false" customHeight="false" outlineLevel="0" collapsed="false">
      <c r="A12" s="41" t="str">
        <f aca="false">IF(Jobs!$A12="","",Jobs!$A12)</f>
        <v>2026-10-011</v>
      </c>
      <c r="B12" s="13" t="str">
        <f aca="false">IF(Jobs!$A12="","",Jobs!$E12)</f>
        <v>Ford of Londonderry</v>
      </c>
      <c r="C12" s="13" t="str">
        <f aca="false">IF(Jobs!$A12="","",Jobs!$F12)</f>
        <v>Accounting/Administration</v>
      </c>
      <c r="D12" s="41" t="n">
        <f aca="false">IF(Jobs!$A12="","",Jobs!$P12)</f>
        <v>3</v>
      </c>
      <c r="E12" s="41" t="str">
        <f aca="false">IF(Jobs!$A12="","",Jobs!$S12)</f>
        <v>Identified</v>
      </c>
      <c r="F12" s="42" t="n">
        <f aca="false">IF(Jobs!$A12="","",Jobs!$T12)</f>
        <v>0</v>
      </c>
      <c r="G12" s="42" t="n">
        <f aca="false">IF(Jobs!$A12="","",Jobs!$U12)</f>
        <v>0</v>
      </c>
      <c r="H12" s="42" t="n">
        <f aca="false">IF(Jobs!$A12="","",Jobs!$V12)</f>
        <v>0</v>
      </c>
      <c r="I12" s="42" t="n">
        <f aca="false">IF(Jobs!$A12="","",Jobs!$X12)</f>
        <v>0</v>
      </c>
      <c r="J12" s="42" t="n">
        <f aca="false">IF(Jobs!$A12="","",Jobs!$Y12)</f>
        <v>0</v>
      </c>
      <c r="K12" s="42" t="n">
        <f aca="false">IF(Jobs!$A12="","",Jobs!$Z12)</f>
        <v>0</v>
      </c>
      <c r="L12" s="41" t="str">
        <f aca="false">IF(Jobs!$A12="","",IF(Jobs!$Z12&lt;&gt;"","Rejected",IF(Jobs!$Y12&lt;&gt;"","Offer",IF(Jobs!$X12&lt;&gt;"","Interview",IF(Jobs!$V12&lt;&gt;"","Responded",IF(Jobs!$U12&lt;&gt;"","Contacted",IF(Jobs!$T12&lt;&gt;"","Applied","Not applied yet")))))))</f>
        <v>Not applied yet</v>
      </c>
      <c r="M12" s="41" t="str">
        <f aca="false">IF(Jobs!$A12="","",Jobs!$AB12)</f>
        <v/>
      </c>
      <c r="N12" s="42" t="n">
        <f aca="false">IF(Jobs!$A12="","",Jobs!$AA12)</f>
        <v>0</v>
      </c>
    </row>
    <row r="13" customFormat="false" ht="15" hidden="false" customHeight="false" outlineLevel="0" collapsed="false">
      <c r="A13" s="41" t="str">
        <f aca="false">IF(Jobs!$A13="","",Jobs!$A13)</f>
        <v>2026-10-012</v>
      </c>
      <c r="B13" s="13" t="str">
        <f aca="false">IF(Jobs!$A13="","",Jobs!$E13)</f>
        <v>Pine Haven Boys Center</v>
      </c>
      <c r="C13" s="13" t="str">
        <f aca="false">IF(Jobs!$A13="","",Jobs!$F13)</f>
        <v>Financial Operations Specialist</v>
      </c>
      <c r="D13" s="41" t="n">
        <f aca="false">IF(Jobs!$A13="","",Jobs!$P13)</f>
        <v>5</v>
      </c>
      <c r="E13" s="41" t="str">
        <f aca="false">IF(Jobs!$A13="","",Jobs!$S13)</f>
        <v>Identified</v>
      </c>
      <c r="F13" s="42" t="n">
        <f aca="false">IF(Jobs!$A13="","",Jobs!$T13)</f>
        <v>0</v>
      </c>
      <c r="G13" s="42" t="n">
        <f aca="false">IF(Jobs!$A13="","",Jobs!$U13)</f>
        <v>0</v>
      </c>
      <c r="H13" s="42" t="n">
        <f aca="false">IF(Jobs!$A13="","",Jobs!$V13)</f>
        <v>0</v>
      </c>
      <c r="I13" s="42" t="n">
        <f aca="false">IF(Jobs!$A13="","",Jobs!$X13)</f>
        <v>0</v>
      </c>
      <c r="J13" s="42" t="n">
        <f aca="false">IF(Jobs!$A13="","",Jobs!$Y13)</f>
        <v>0</v>
      </c>
      <c r="K13" s="42" t="n">
        <f aca="false">IF(Jobs!$A13="","",Jobs!$Z13)</f>
        <v>0</v>
      </c>
      <c r="L13" s="41" t="str">
        <f aca="false">IF(Jobs!$A13="","",IF(Jobs!$Z13&lt;&gt;"","Rejected",IF(Jobs!$Y13&lt;&gt;"","Offer",IF(Jobs!$X13&lt;&gt;"","Interview",IF(Jobs!$V13&lt;&gt;"","Responded",IF(Jobs!$U13&lt;&gt;"","Contacted",IF(Jobs!$T13&lt;&gt;"","Applied","Not applied yet")))))))</f>
        <v>Not applied yet</v>
      </c>
      <c r="M13" s="41" t="str">
        <f aca="false">IF(Jobs!$A13="","",Jobs!$AB13)</f>
        <v/>
      </c>
      <c r="N13" s="42" t="n">
        <f aca="false">IF(Jobs!$A13="","",Jobs!$AA13)</f>
        <v>0</v>
      </c>
    </row>
    <row r="14" customFormat="false" ht="22.35" hidden="false" customHeight="false" outlineLevel="0" collapsed="false">
      <c r="A14" s="41" t="str">
        <f aca="false">IF(Jobs!$A14="","",Jobs!$A14)</f>
        <v>2026-10-013</v>
      </c>
      <c r="B14" s="13" t="str">
        <f aca="false">IF(Jobs!$A14="","",Jobs!$E14)</f>
        <v>Spectrum Marketing Companies</v>
      </c>
      <c r="C14" s="13" t="str">
        <f aca="false">IF(Jobs!$A14="","",Jobs!$F14)</f>
        <v>Accounting Associate</v>
      </c>
      <c r="D14" s="41" t="n">
        <f aca="false">IF(Jobs!$A14="","",Jobs!$P14)</f>
        <v>5</v>
      </c>
      <c r="E14" s="41" t="str">
        <f aca="false">IF(Jobs!$A14="","",Jobs!$S14)</f>
        <v>Identified</v>
      </c>
      <c r="F14" s="42" t="n">
        <f aca="false">IF(Jobs!$A14="","",Jobs!$T14)</f>
        <v>0</v>
      </c>
      <c r="G14" s="42" t="n">
        <f aca="false">IF(Jobs!$A14="","",Jobs!$U14)</f>
        <v>0</v>
      </c>
      <c r="H14" s="42" t="n">
        <f aca="false">IF(Jobs!$A14="","",Jobs!$V14)</f>
        <v>0</v>
      </c>
      <c r="I14" s="42" t="n">
        <f aca="false">IF(Jobs!$A14="","",Jobs!$X14)</f>
        <v>0</v>
      </c>
      <c r="J14" s="42" t="n">
        <f aca="false">IF(Jobs!$A14="","",Jobs!$Y14)</f>
        <v>0</v>
      </c>
      <c r="K14" s="42" t="n">
        <f aca="false">IF(Jobs!$A14="","",Jobs!$Z14)</f>
        <v>0</v>
      </c>
      <c r="L14" s="41" t="str">
        <f aca="false">IF(Jobs!$A14="","",IF(Jobs!$Z14&lt;&gt;"","Rejected",IF(Jobs!$Y14&lt;&gt;"","Offer",IF(Jobs!$X14&lt;&gt;"","Interview",IF(Jobs!$V14&lt;&gt;"","Responded",IF(Jobs!$U14&lt;&gt;"","Contacted",IF(Jobs!$T14&lt;&gt;"","Applied","Not applied yet")))))))</f>
        <v>Not applied yet</v>
      </c>
      <c r="M14" s="41" t="str">
        <f aca="false">IF(Jobs!$A14="","",Jobs!$AB14)</f>
        <v/>
      </c>
      <c r="N14" s="42" t="n">
        <f aca="false">IF(Jobs!$A14="","",Jobs!$AA14)</f>
        <v>0</v>
      </c>
    </row>
    <row r="15" customFormat="false" ht="22.35" hidden="false" customHeight="false" outlineLevel="0" collapsed="false">
      <c r="A15" s="41" t="str">
        <f aca="false">IF(Jobs!$A15="","",Jobs!$A15)</f>
        <v>2026-10-014</v>
      </c>
      <c r="B15" s="13" t="str">
        <f aca="false">IF(Jobs!$A15="","",Jobs!$E15)</f>
        <v>Buchanan Technologies</v>
      </c>
      <c r="C15" s="13" t="str">
        <f aca="false">IF(Jobs!$A15="","",Jobs!$F15)</f>
        <v>Sr. Financial Planning &amp; Analysis Analyst</v>
      </c>
      <c r="D15" s="41" t="n">
        <f aca="false">IF(Jobs!$A15="","",Jobs!$P15)</f>
        <v>5</v>
      </c>
      <c r="E15" s="41" t="str">
        <f aca="false">IF(Jobs!$A15="","",Jobs!$S15)</f>
        <v>Identified</v>
      </c>
      <c r="F15" s="42" t="n">
        <f aca="false">IF(Jobs!$A15="","",Jobs!$T15)</f>
        <v>0</v>
      </c>
      <c r="G15" s="42" t="n">
        <f aca="false">IF(Jobs!$A15="","",Jobs!$U15)</f>
        <v>0</v>
      </c>
      <c r="H15" s="42" t="n">
        <f aca="false">IF(Jobs!$A15="","",Jobs!$V15)</f>
        <v>0</v>
      </c>
      <c r="I15" s="42" t="n">
        <f aca="false">IF(Jobs!$A15="","",Jobs!$X15)</f>
        <v>0</v>
      </c>
      <c r="J15" s="42" t="n">
        <f aca="false">IF(Jobs!$A15="","",Jobs!$Y15)</f>
        <v>0</v>
      </c>
      <c r="K15" s="42" t="n">
        <f aca="false">IF(Jobs!$A15="","",Jobs!$Z15)</f>
        <v>0</v>
      </c>
      <c r="L15" s="41" t="str">
        <f aca="false">IF(Jobs!$A15="","",IF(Jobs!$Z15&lt;&gt;"","Rejected",IF(Jobs!$Y15&lt;&gt;"","Offer",IF(Jobs!$X15&lt;&gt;"","Interview",IF(Jobs!$V15&lt;&gt;"","Responded",IF(Jobs!$U15&lt;&gt;"","Contacted",IF(Jobs!$T15&lt;&gt;"","Applied","Not applied yet")))))))</f>
        <v>Not applied yet</v>
      </c>
      <c r="M15" s="41" t="str">
        <f aca="false">IF(Jobs!$A15="","",Jobs!$AB15)</f>
        <v/>
      </c>
      <c r="N15" s="42" t="n">
        <f aca="false">IF(Jobs!$A15="","",Jobs!$AA15)</f>
        <v>0</v>
      </c>
    </row>
    <row r="16" customFormat="false" ht="15" hidden="false" customHeight="false" outlineLevel="0" collapsed="false">
      <c r="A16" s="41" t="str">
        <f aca="false">IF(Jobs!$A16="","",Jobs!$A16)</f>
        <v>2026-10-015</v>
      </c>
      <c r="B16" s="13" t="str">
        <f aca="false">IF(Jobs!$A16="","",Jobs!$E16)</f>
        <v>Breathe New Hampshire</v>
      </c>
      <c r="C16" s="13" t="str">
        <f aca="false">IF(Jobs!$A16="","",Jobs!$F16)</f>
        <v>Accounting Manager</v>
      </c>
      <c r="D16" s="41" t="n">
        <f aca="false">IF(Jobs!$A16="","",Jobs!$P16)</f>
        <v>3</v>
      </c>
      <c r="E16" s="41" t="str">
        <f aca="false">IF(Jobs!$A16="","",Jobs!$S16)</f>
        <v>Identified</v>
      </c>
      <c r="F16" s="42" t="n">
        <f aca="false">IF(Jobs!$A16="","",Jobs!$T16)</f>
        <v>0</v>
      </c>
      <c r="G16" s="42" t="n">
        <f aca="false">IF(Jobs!$A16="","",Jobs!$U16)</f>
        <v>0</v>
      </c>
      <c r="H16" s="42" t="n">
        <f aca="false">IF(Jobs!$A16="","",Jobs!$V16)</f>
        <v>0</v>
      </c>
      <c r="I16" s="42" t="n">
        <f aca="false">IF(Jobs!$A16="","",Jobs!$X16)</f>
        <v>0</v>
      </c>
      <c r="J16" s="42" t="n">
        <f aca="false">IF(Jobs!$A16="","",Jobs!$Y16)</f>
        <v>0</v>
      </c>
      <c r="K16" s="42" t="n">
        <f aca="false">IF(Jobs!$A16="","",Jobs!$Z16)</f>
        <v>0</v>
      </c>
      <c r="L16" s="41" t="str">
        <f aca="false">IF(Jobs!$A16="","",IF(Jobs!$Z16&lt;&gt;"","Rejected",IF(Jobs!$Y16&lt;&gt;"","Offer",IF(Jobs!$X16&lt;&gt;"","Interview",IF(Jobs!$V16&lt;&gt;"","Responded",IF(Jobs!$U16&lt;&gt;"","Contacted",IF(Jobs!$T16&lt;&gt;"","Applied","Not applied yet")))))))</f>
        <v>Not applied yet</v>
      </c>
      <c r="M16" s="41" t="str">
        <f aca="false">IF(Jobs!$A16="","",Jobs!$AB16)</f>
        <v/>
      </c>
      <c r="N16" s="42" t="n">
        <f aca="false">IF(Jobs!$A16="","",Jobs!$AA16)</f>
        <v>0</v>
      </c>
    </row>
    <row r="17" customFormat="false" ht="15" hidden="false" customHeight="false" outlineLevel="0" collapsed="false">
      <c r="A17" s="41" t="str">
        <f aca="false">IF(Jobs!$A17="","",Jobs!$A17)</f>
        <v>2026-10-016</v>
      </c>
      <c r="B17" s="13" t="str">
        <f aca="false">IF(Jobs!$A17="","",Jobs!$E17)</f>
        <v>Town of Sanbornton, NH</v>
      </c>
      <c r="C17" s="13" t="str">
        <f aca="false">IF(Jobs!$A17="","",Jobs!$F17)</f>
        <v>Finance Coordinator</v>
      </c>
      <c r="D17" s="41" t="n">
        <f aca="false">IF(Jobs!$A17="","",Jobs!$P17)</f>
        <v>3</v>
      </c>
      <c r="E17" s="41" t="str">
        <f aca="false">IF(Jobs!$A17="","",Jobs!$S17)</f>
        <v>Identified</v>
      </c>
      <c r="F17" s="42" t="n">
        <f aca="false">IF(Jobs!$A17="","",Jobs!$T17)</f>
        <v>0</v>
      </c>
      <c r="G17" s="42" t="n">
        <f aca="false">IF(Jobs!$A17="","",Jobs!$U17)</f>
        <v>0</v>
      </c>
      <c r="H17" s="42" t="n">
        <f aca="false">IF(Jobs!$A17="","",Jobs!$V17)</f>
        <v>0</v>
      </c>
      <c r="I17" s="42" t="n">
        <f aca="false">IF(Jobs!$A17="","",Jobs!$X17)</f>
        <v>0</v>
      </c>
      <c r="J17" s="42" t="n">
        <f aca="false">IF(Jobs!$A17="","",Jobs!$Y17)</f>
        <v>0</v>
      </c>
      <c r="K17" s="42" t="n">
        <f aca="false">IF(Jobs!$A17="","",Jobs!$Z17)</f>
        <v>0</v>
      </c>
      <c r="L17" s="41" t="str">
        <f aca="false">IF(Jobs!$A17="","",IF(Jobs!$Z17&lt;&gt;"","Rejected",IF(Jobs!$Y17&lt;&gt;"","Offer",IF(Jobs!$X17&lt;&gt;"","Interview",IF(Jobs!$V17&lt;&gt;"","Responded",IF(Jobs!$U17&lt;&gt;"","Contacted",IF(Jobs!$T17&lt;&gt;"","Applied","Not applied yet")))))))</f>
        <v>Not applied yet</v>
      </c>
      <c r="M17" s="41" t="str">
        <f aca="false">IF(Jobs!$A17="","",Jobs!$AB17)</f>
        <v/>
      </c>
      <c r="N17" s="42" t="n">
        <f aca="false">IF(Jobs!$A17="","",Jobs!$AA17)</f>
        <v>0</v>
      </c>
    </row>
    <row r="18" customFormat="false" ht="22.35" hidden="false" customHeight="false" outlineLevel="0" collapsed="false">
      <c r="A18" s="41" t="str">
        <f aca="false">IF(Jobs!$A18="","",Jobs!$A18)</f>
        <v>2026-10-017</v>
      </c>
      <c r="B18" s="13" t="str">
        <f aca="false">IF(Jobs!$A18="","",Jobs!$E18)</f>
        <v>New Hampshire Housing</v>
      </c>
      <c r="C18" s="13" t="str">
        <f aca="false">IF(Jobs!$A18="","",Jobs!$F18)</f>
        <v>Senior Accountant, Section 8 &amp; Federal Reporting</v>
      </c>
      <c r="D18" s="41" t="n">
        <f aca="false">IF(Jobs!$A18="","",Jobs!$P18)</f>
        <v>3</v>
      </c>
      <c r="E18" s="41" t="str">
        <f aca="false">IF(Jobs!$A18="","",Jobs!$S18)</f>
        <v>Identified</v>
      </c>
      <c r="F18" s="42" t="n">
        <f aca="false">IF(Jobs!$A18="","",Jobs!$T18)</f>
        <v>0</v>
      </c>
      <c r="G18" s="42" t="n">
        <f aca="false">IF(Jobs!$A18="","",Jobs!$U18)</f>
        <v>0</v>
      </c>
      <c r="H18" s="42" t="n">
        <f aca="false">IF(Jobs!$A18="","",Jobs!$V18)</f>
        <v>0</v>
      </c>
      <c r="I18" s="42" t="n">
        <f aca="false">IF(Jobs!$A18="","",Jobs!$X18)</f>
        <v>0</v>
      </c>
      <c r="J18" s="42" t="n">
        <f aca="false">IF(Jobs!$A18="","",Jobs!$Y18)</f>
        <v>0</v>
      </c>
      <c r="K18" s="42" t="n">
        <f aca="false">IF(Jobs!$A18="","",Jobs!$Z18)</f>
        <v>0</v>
      </c>
      <c r="L18" s="41" t="str">
        <f aca="false">IF(Jobs!$A18="","",IF(Jobs!$Z18&lt;&gt;"","Rejected",IF(Jobs!$Y18&lt;&gt;"","Offer",IF(Jobs!$X18&lt;&gt;"","Interview",IF(Jobs!$V18&lt;&gt;"","Responded",IF(Jobs!$U18&lt;&gt;"","Contacted",IF(Jobs!$T18&lt;&gt;"","Applied","Not applied yet")))))))</f>
        <v>Not applied yet</v>
      </c>
      <c r="M18" s="41" t="str">
        <f aca="false">IF(Jobs!$A18="","",Jobs!$AB18)</f>
        <v/>
      </c>
      <c r="N18" s="42" t="n">
        <f aca="false">IF(Jobs!$A18="","",Jobs!$AA18)</f>
        <v>0</v>
      </c>
    </row>
    <row r="19" customFormat="false" ht="15" hidden="false" customHeight="false" outlineLevel="0" collapsed="false">
      <c r="A19" s="41" t="str">
        <f aca="false">IF(Jobs!$A19="","",Jobs!$A19)</f>
        <v>2026-10-018</v>
      </c>
      <c r="B19" s="13" t="str">
        <f aca="false">IF(Jobs!$A19="","",Jobs!$E19)</f>
        <v>Associa</v>
      </c>
      <c r="C19" s="13" t="str">
        <f aca="false">IF(Jobs!$A19="","",Jobs!$F19)</f>
        <v>Senior Accountant</v>
      </c>
      <c r="D19" s="41" t="n">
        <f aca="false">IF(Jobs!$A19="","",Jobs!$P19)</f>
        <v>3</v>
      </c>
      <c r="E19" s="41" t="str">
        <f aca="false">IF(Jobs!$A19="","",Jobs!$S19)</f>
        <v>Identified</v>
      </c>
      <c r="F19" s="42" t="n">
        <f aca="false">IF(Jobs!$A19="","",Jobs!$T19)</f>
        <v>0</v>
      </c>
      <c r="G19" s="42" t="n">
        <f aca="false">IF(Jobs!$A19="","",Jobs!$U19)</f>
        <v>0</v>
      </c>
      <c r="H19" s="42" t="n">
        <f aca="false">IF(Jobs!$A19="","",Jobs!$V19)</f>
        <v>0</v>
      </c>
      <c r="I19" s="42" t="n">
        <f aca="false">IF(Jobs!$A19="","",Jobs!$X19)</f>
        <v>0</v>
      </c>
      <c r="J19" s="42" t="n">
        <f aca="false">IF(Jobs!$A19="","",Jobs!$Y19)</f>
        <v>0</v>
      </c>
      <c r="K19" s="42" t="n">
        <f aca="false">IF(Jobs!$A19="","",Jobs!$Z19)</f>
        <v>0</v>
      </c>
      <c r="L19" s="41" t="str">
        <f aca="false">IF(Jobs!$A19="","",IF(Jobs!$Z19&lt;&gt;"","Rejected",IF(Jobs!$Y19&lt;&gt;"","Offer",IF(Jobs!$X19&lt;&gt;"","Interview",IF(Jobs!$V19&lt;&gt;"","Responded",IF(Jobs!$U19&lt;&gt;"","Contacted",IF(Jobs!$T19&lt;&gt;"","Applied","Not applied yet")))))))</f>
        <v>Not applied yet</v>
      </c>
      <c r="M19" s="41" t="str">
        <f aca="false">IF(Jobs!$A19="","",Jobs!$AB19)</f>
        <v/>
      </c>
      <c r="N19" s="42" t="n">
        <f aca="false">IF(Jobs!$A19="","",Jobs!$AA19)</f>
        <v>0</v>
      </c>
    </row>
    <row r="20" customFormat="false" ht="22.35" hidden="false" customHeight="false" outlineLevel="0" collapsed="false">
      <c r="A20" s="41" t="str">
        <f aca="false">IF(Jobs!$A20="","",Jobs!$A20)</f>
        <v>2026-10-019</v>
      </c>
      <c r="B20" s="13" t="str">
        <f aca="false">IF(Jobs!$A20="","",Jobs!$E20)</f>
        <v>Associa</v>
      </c>
      <c r="C20" s="13" t="str">
        <f aca="false">IF(Jobs!$A20="","",Jobs!$F20)</f>
        <v>Client Accounting Specialist / Coordinator</v>
      </c>
      <c r="D20" s="41" t="n">
        <f aca="false">IF(Jobs!$A20="","",Jobs!$P20)</f>
        <v>5</v>
      </c>
      <c r="E20" s="41" t="str">
        <f aca="false">IF(Jobs!$A20="","",Jobs!$S20)</f>
        <v>Identified</v>
      </c>
      <c r="F20" s="42" t="n">
        <f aca="false">IF(Jobs!$A20="","",Jobs!$T20)</f>
        <v>0</v>
      </c>
      <c r="G20" s="42" t="n">
        <f aca="false">IF(Jobs!$A20="","",Jobs!$U20)</f>
        <v>0</v>
      </c>
      <c r="H20" s="42" t="n">
        <f aca="false">IF(Jobs!$A20="","",Jobs!$V20)</f>
        <v>0</v>
      </c>
      <c r="I20" s="42" t="n">
        <f aca="false">IF(Jobs!$A20="","",Jobs!$X20)</f>
        <v>0</v>
      </c>
      <c r="J20" s="42" t="n">
        <f aca="false">IF(Jobs!$A20="","",Jobs!$Y20)</f>
        <v>0</v>
      </c>
      <c r="K20" s="42" t="n">
        <f aca="false">IF(Jobs!$A20="","",Jobs!$Z20)</f>
        <v>0</v>
      </c>
      <c r="L20" s="41" t="str">
        <f aca="false">IF(Jobs!$A20="","",IF(Jobs!$Z20&lt;&gt;"","Rejected",IF(Jobs!$Y20&lt;&gt;"","Offer",IF(Jobs!$X20&lt;&gt;"","Interview",IF(Jobs!$V20&lt;&gt;"","Responded",IF(Jobs!$U20&lt;&gt;"","Contacted",IF(Jobs!$T20&lt;&gt;"","Applied","Not applied yet")))))))</f>
        <v>Not applied yet</v>
      </c>
      <c r="M20" s="41" t="str">
        <f aca="false">IF(Jobs!$A20="","",Jobs!$AB20)</f>
        <v/>
      </c>
      <c r="N20" s="42" t="n">
        <f aca="false">IF(Jobs!$A20="","",Jobs!$AA20)</f>
        <v>0</v>
      </c>
    </row>
    <row r="21" customFormat="false" ht="15" hidden="false" customHeight="false" outlineLevel="0" collapsed="false">
      <c r="A21" s="41" t="str">
        <f aca="false">IF(Jobs!$A21="","",Jobs!$A21)</f>
        <v>2026-10-020</v>
      </c>
      <c r="B21" s="13" t="str">
        <f aca="false">IF(Jobs!$A21="","",Jobs!$E21)</f>
        <v>Wakefield Thermal Solutions</v>
      </c>
      <c r="C21" s="13" t="str">
        <f aca="false">IF(Jobs!$A21="","",Jobs!$F21)</f>
        <v>Accounts Payable Coordinator</v>
      </c>
      <c r="D21" s="41" t="n">
        <f aca="false">IF(Jobs!$A21="","",Jobs!$P21)</f>
        <v>3</v>
      </c>
      <c r="E21" s="41" t="str">
        <f aca="false">IF(Jobs!$A21="","",Jobs!$S21)</f>
        <v>Identified</v>
      </c>
      <c r="F21" s="42" t="n">
        <f aca="false">IF(Jobs!$A21="","",Jobs!$T21)</f>
        <v>0</v>
      </c>
      <c r="G21" s="42" t="n">
        <f aca="false">IF(Jobs!$A21="","",Jobs!$U21)</f>
        <v>0</v>
      </c>
      <c r="H21" s="42" t="n">
        <f aca="false">IF(Jobs!$A21="","",Jobs!$V21)</f>
        <v>0</v>
      </c>
      <c r="I21" s="42" t="n">
        <f aca="false">IF(Jobs!$A21="","",Jobs!$X21)</f>
        <v>0</v>
      </c>
      <c r="J21" s="42" t="n">
        <f aca="false">IF(Jobs!$A21="","",Jobs!$Y21)</f>
        <v>0</v>
      </c>
      <c r="K21" s="42" t="n">
        <f aca="false">IF(Jobs!$A21="","",Jobs!$Z21)</f>
        <v>0</v>
      </c>
      <c r="L21" s="41" t="str">
        <f aca="false">IF(Jobs!$A21="","",IF(Jobs!$Z21&lt;&gt;"","Rejected",IF(Jobs!$Y21&lt;&gt;"","Offer",IF(Jobs!$X21&lt;&gt;"","Interview",IF(Jobs!$V21&lt;&gt;"","Responded",IF(Jobs!$U21&lt;&gt;"","Contacted",IF(Jobs!$T21&lt;&gt;"","Applied","Not applied yet")))))))</f>
        <v>Not applied yet</v>
      </c>
      <c r="M21" s="41" t="str">
        <f aca="false">IF(Jobs!$A21="","",Jobs!$AB21)</f>
        <v/>
      </c>
      <c r="N21" s="42" t="n">
        <f aca="false">IF(Jobs!$A21="","",Jobs!$AA21)</f>
        <v>0</v>
      </c>
    </row>
    <row r="22" customFormat="false" ht="15" hidden="false" customHeight="false" outlineLevel="0" collapsed="false">
      <c r="A22" s="41" t="str">
        <f aca="false">IF(Jobs!$A22="","",Jobs!$A22)</f>
        <v>2026-10-021</v>
      </c>
      <c r="B22" s="13" t="str">
        <f aca="false">IF(Jobs!$A22="","",Jobs!$E22)</f>
        <v>Business Cents</v>
      </c>
      <c r="C22" s="13" t="str">
        <f aca="false">IF(Jobs!$A22="","",Jobs!$F22)</f>
        <v>Payroll Processor</v>
      </c>
      <c r="D22" s="41" t="n">
        <f aca="false">IF(Jobs!$A22="","",Jobs!$P22)</f>
        <v>3</v>
      </c>
      <c r="E22" s="41" t="str">
        <f aca="false">IF(Jobs!$A22="","",Jobs!$S22)</f>
        <v>Identified</v>
      </c>
      <c r="F22" s="42" t="n">
        <f aca="false">IF(Jobs!$A22="","",Jobs!$T22)</f>
        <v>0</v>
      </c>
      <c r="G22" s="42" t="n">
        <f aca="false">IF(Jobs!$A22="","",Jobs!$U22)</f>
        <v>0</v>
      </c>
      <c r="H22" s="42" t="n">
        <f aca="false">IF(Jobs!$A22="","",Jobs!$V22)</f>
        <v>0</v>
      </c>
      <c r="I22" s="42" t="n">
        <f aca="false">IF(Jobs!$A22="","",Jobs!$X22)</f>
        <v>0</v>
      </c>
      <c r="J22" s="42" t="n">
        <f aca="false">IF(Jobs!$A22="","",Jobs!$Y22)</f>
        <v>0</v>
      </c>
      <c r="K22" s="42" t="n">
        <f aca="false">IF(Jobs!$A22="","",Jobs!$Z22)</f>
        <v>0</v>
      </c>
      <c r="L22" s="41" t="str">
        <f aca="false">IF(Jobs!$A22="","",IF(Jobs!$Z22&lt;&gt;"","Rejected",IF(Jobs!$Y22&lt;&gt;"","Offer",IF(Jobs!$X22&lt;&gt;"","Interview",IF(Jobs!$V22&lt;&gt;"","Responded",IF(Jobs!$U22&lt;&gt;"","Contacted",IF(Jobs!$T22&lt;&gt;"","Applied","Not applied yet")))))))</f>
        <v>Not applied yet</v>
      </c>
      <c r="M22" s="41" t="str">
        <f aca="false">IF(Jobs!$A22="","",Jobs!$AB22)</f>
        <v/>
      </c>
      <c r="N22" s="42" t="n">
        <f aca="false">IF(Jobs!$A22="","",Jobs!$AA22)</f>
        <v>0</v>
      </c>
    </row>
    <row r="23" customFormat="false" ht="22.35" hidden="false" customHeight="false" outlineLevel="0" collapsed="false">
      <c r="A23" s="41" t="str">
        <f aca="false">IF(Jobs!$A23="","",Jobs!$A23)</f>
        <v>2026-10-022</v>
      </c>
      <c r="B23" s="13" t="str">
        <f aca="false">IF(Jobs!$A23="","",Jobs!$E23)</f>
        <v>Bronze Craft Corp</v>
      </c>
      <c r="C23" s="13" t="str">
        <f aca="false">IF(Jobs!$A23="","",Jobs!$F23)</f>
        <v>Payroll and Accounts Receivable Specialist</v>
      </c>
      <c r="D23" s="41" t="n">
        <f aca="false">IF(Jobs!$A23="","",Jobs!$P23)</f>
        <v>3</v>
      </c>
      <c r="E23" s="41" t="str">
        <f aca="false">IF(Jobs!$A23="","",Jobs!$S23)</f>
        <v>Identified</v>
      </c>
      <c r="F23" s="42" t="n">
        <f aca="false">IF(Jobs!$A23="","",Jobs!$T23)</f>
        <v>0</v>
      </c>
      <c r="G23" s="42" t="n">
        <f aca="false">IF(Jobs!$A23="","",Jobs!$U23)</f>
        <v>0</v>
      </c>
      <c r="H23" s="42" t="n">
        <f aca="false">IF(Jobs!$A23="","",Jobs!$V23)</f>
        <v>0</v>
      </c>
      <c r="I23" s="42" t="n">
        <f aca="false">IF(Jobs!$A23="","",Jobs!$X23)</f>
        <v>0</v>
      </c>
      <c r="J23" s="42" t="n">
        <f aca="false">IF(Jobs!$A23="","",Jobs!$Y23)</f>
        <v>0</v>
      </c>
      <c r="K23" s="42" t="n">
        <f aca="false">IF(Jobs!$A23="","",Jobs!$Z23)</f>
        <v>0</v>
      </c>
      <c r="L23" s="41" t="str">
        <f aca="false">IF(Jobs!$A23="","",IF(Jobs!$Z23&lt;&gt;"","Rejected",IF(Jobs!$Y23&lt;&gt;"","Offer",IF(Jobs!$X23&lt;&gt;"","Interview",IF(Jobs!$V23&lt;&gt;"","Responded",IF(Jobs!$U23&lt;&gt;"","Contacted",IF(Jobs!$T23&lt;&gt;"","Applied","Not applied yet")))))))</f>
        <v>Not applied yet</v>
      </c>
      <c r="M23" s="41" t="str">
        <f aca="false">IF(Jobs!$A23="","",Jobs!$AB23)</f>
        <v/>
      </c>
      <c r="N23" s="42" t="n">
        <f aca="false">IF(Jobs!$A23="","",Jobs!$AA23)</f>
        <v>0</v>
      </c>
    </row>
    <row r="24" customFormat="false" ht="15" hidden="false" customHeight="false" outlineLevel="0" collapsed="false">
      <c r="A24" s="41" t="str">
        <f aca="false">IF(Jobs!$A24="","",Jobs!$A24)</f>
        <v>2026-10-023</v>
      </c>
      <c r="B24" s="13" t="str">
        <f aca="false">IF(Jobs!$A24="","",Jobs!$E24)</f>
        <v>Community Crossroads</v>
      </c>
      <c r="C24" s="13" t="str">
        <f aca="false">IF(Jobs!$A24="","",Jobs!$F24)</f>
        <v>Accounting Coordinator</v>
      </c>
      <c r="D24" s="41" t="n">
        <f aca="false">IF(Jobs!$A24="","",Jobs!$P24)</f>
        <v>3</v>
      </c>
      <c r="E24" s="41" t="str">
        <f aca="false">IF(Jobs!$A24="","",Jobs!$S24)</f>
        <v>Identified</v>
      </c>
      <c r="F24" s="42" t="n">
        <f aca="false">IF(Jobs!$A24="","",Jobs!$T24)</f>
        <v>0</v>
      </c>
      <c r="G24" s="42" t="n">
        <f aca="false">IF(Jobs!$A24="","",Jobs!$U24)</f>
        <v>0</v>
      </c>
      <c r="H24" s="42" t="n">
        <f aca="false">IF(Jobs!$A24="","",Jobs!$V24)</f>
        <v>0</v>
      </c>
      <c r="I24" s="42" t="n">
        <f aca="false">IF(Jobs!$A24="","",Jobs!$X24)</f>
        <v>0</v>
      </c>
      <c r="J24" s="42" t="n">
        <f aca="false">IF(Jobs!$A24="","",Jobs!$Y24)</f>
        <v>0</v>
      </c>
      <c r="K24" s="42" t="n">
        <f aca="false">IF(Jobs!$A24="","",Jobs!$Z24)</f>
        <v>0</v>
      </c>
      <c r="L24" s="41" t="str">
        <f aca="false">IF(Jobs!$A24="","",IF(Jobs!$Z24&lt;&gt;"","Rejected",IF(Jobs!$Y24&lt;&gt;"","Offer",IF(Jobs!$X24&lt;&gt;"","Interview",IF(Jobs!$V24&lt;&gt;"","Responded",IF(Jobs!$U24&lt;&gt;"","Contacted",IF(Jobs!$T24&lt;&gt;"","Applied","Not applied yet")))))))</f>
        <v>Not applied yet</v>
      </c>
      <c r="M24" s="41" t="str">
        <f aca="false">IF(Jobs!$A24="","",Jobs!$AB24)</f>
        <v/>
      </c>
      <c r="N24" s="42" t="n">
        <f aca="false">IF(Jobs!$A24="","",Jobs!$AA24)</f>
        <v>0</v>
      </c>
    </row>
    <row r="25" customFormat="false" ht="15" hidden="false" customHeight="false" outlineLevel="0" collapsed="false">
      <c r="A25" s="41" t="str">
        <f aca="false">IF(Jobs!$A25="","",Jobs!$A25)</f>
        <v>2026-10-024</v>
      </c>
      <c r="B25" s="13" t="str">
        <f aca="false">IF(Jobs!$A25="","",Jobs!$E25)</f>
        <v>KBW Financial Staffing</v>
      </c>
      <c r="C25" s="13" t="str">
        <f aca="false">IF(Jobs!$A25="","",Jobs!$F25)</f>
        <v>Accountant II</v>
      </c>
      <c r="D25" s="41" t="n">
        <f aca="false">IF(Jobs!$A25="","",Jobs!$P25)</f>
        <v>5</v>
      </c>
      <c r="E25" s="41" t="str">
        <f aca="false">IF(Jobs!$A25="","",Jobs!$S25)</f>
        <v>Identified</v>
      </c>
      <c r="F25" s="42" t="n">
        <f aca="false">IF(Jobs!$A25="","",Jobs!$T25)</f>
        <v>0</v>
      </c>
      <c r="G25" s="42" t="n">
        <f aca="false">IF(Jobs!$A25="","",Jobs!$U25)</f>
        <v>0</v>
      </c>
      <c r="H25" s="42" t="n">
        <f aca="false">IF(Jobs!$A25="","",Jobs!$V25)</f>
        <v>0</v>
      </c>
      <c r="I25" s="42" t="n">
        <f aca="false">IF(Jobs!$A25="","",Jobs!$X25)</f>
        <v>0</v>
      </c>
      <c r="J25" s="42" t="n">
        <f aca="false">IF(Jobs!$A25="","",Jobs!$Y25)</f>
        <v>0</v>
      </c>
      <c r="K25" s="42" t="n">
        <f aca="false">IF(Jobs!$A25="","",Jobs!$Z25)</f>
        <v>0</v>
      </c>
      <c r="L25" s="41" t="str">
        <f aca="false">IF(Jobs!$A25="","",IF(Jobs!$Z25&lt;&gt;"","Rejected",IF(Jobs!$Y25&lt;&gt;"","Offer",IF(Jobs!$X25&lt;&gt;"","Interview",IF(Jobs!$V25&lt;&gt;"","Responded",IF(Jobs!$U25&lt;&gt;"","Contacted",IF(Jobs!$T25&lt;&gt;"","Applied","Not applied yet")))))))</f>
        <v>Not applied yet</v>
      </c>
      <c r="M25" s="41" t="str">
        <f aca="false">IF(Jobs!$A25="","",Jobs!$AB25)</f>
        <v/>
      </c>
      <c r="N25" s="42" t="n">
        <f aca="false">IF(Jobs!$A25="","",Jobs!$AA25)</f>
        <v>0</v>
      </c>
    </row>
    <row r="26" customFormat="false" ht="15" hidden="false" customHeight="false" outlineLevel="0" collapsed="false">
      <c r="A26" s="41" t="str">
        <f aca="false">IF(Jobs!$A26="","",Jobs!$A26)</f>
        <v>2026-10-025</v>
      </c>
      <c r="B26" s="13" t="str">
        <f aca="false">IF(Jobs!$A26="","",Jobs!$E26)</f>
        <v>Service Credit Union</v>
      </c>
      <c r="C26" s="13" t="str">
        <f aca="false">IF(Jobs!$A26="","",Jobs!$F26)</f>
        <v>Financial Accountant</v>
      </c>
      <c r="D26" s="41" t="n">
        <f aca="false">IF(Jobs!$A26="","",Jobs!$P26)</f>
        <v>3</v>
      </c>
      <c r="E26" s="41" t="str">
        <f aca="false">IF(Jobs!$A26="","",Jobs!$S26)</f>
        <v>Identified</v>
      </c>
      <c r="F26" s="42" t="n">
        <f aca="false">IF(Jobs!$A26="","",Jobs!$T26)</f>
        <v>0</v>
      </c>
      <c r="G26" s="42" t="n">
        <f aca="false">IF(Jobs!$A26="","",Jobs!$U26)</f>
        <v>0</v>
      </c>
      <c r="H26" s="42" t="n">
        <f aca="false">IF(Jobs!$A26="","",Jobs!$V26)</f>
        <v>0</v>
      </c>
      <c r="I26" s="42" t="n">
        <f aca="false">IF(Jobs!$A26="","",Jobs!$X26)</f>
        <v>0</v>
      </c>
      <c r="J26" s="42" t="n">
        <f aca="false">IF(Jobs!$A26="","",Jobs!$Y26)</f>
        <v>0</v>
      </c>
      <c r="K26" s="42" t="n">
        <f aca="false">IF(Jobs!$A26="","",Jobs!$Z26)</f>
        <v>0</v>
      </c>
      <c r="L26" s="41" t="str">
        <f aca="false">IF(Jobs!$A26="","",IF(Jobs!$Z26&lt;&gt;"","Rejected",IF(Jobs!$Y26&lt;&gt;"","Offer",IF(Jobs!$X26&lt;&gt;"","Interview",IF(Jobs!$V26&lt;&gt;"","Responded",IF(Jobs!$U26&lt;&gt;"","Contacted",IF(Jobs!$T26&lt;&gt;"","Applied","Not applied yet")))))))</f>
        <v>Not applied yet</v>
      </c>
      <c r="M26" s="41" t="str">
        <f aca="false">IF(Jobs!$A26="","",Jobs!$AB26)</f>
        <v/>
      </c>
      <c r="N26" s="42" t="n">
        <f aca="false">IF(Jobs!$A26="","",Jobs!$AA26)</f>
        <v>0</v>
      </c>
    </row>
    <row r="27" customFormat="false" ht="22.35" hidden="false" customHeight="false" outlineLevel="0" collapsed="false">
      <c r="A27" s="41" t="str">
        <f aca="false">IF(Jobs!$A27="","",Jobs!$A27)</f>
        <v>2026-10-026</v>
      </c>
      <c r="B27" s="13" t="str">
        <f aca="false">IF(Jobs!$A27="","",Jobs!$E27)</f>
        <v>Feature Solutions</v>
      </c>
      <c r="C27" s="13" t="str">
        <f aca="false">IF(Jobs!$A27="","",Jobs!$F27)</f>
        <v>Tax Expert (CPA or EA) – Base + Commission</v>
      </c>
      <c r="D27" s="41" t="n">
        <f aca="false">IF(Jobs!$A27="","",Jobs!$P27)</f>
        <v>3</v>
      </c>
      <c r="E27" s="41" t="str">
        <f aca="false">IF(Jobs!$A27="","",Jobs!$S27)</f>
        <v>Identified</v>
      </c>
      <c r="F27" s="42" t="n">
        <f aca="false">IF(Jobs!$A27="","",Jobs!$T27)</f>
        <v>0</v>
      </c>
      <c r="G27" s="42" t="n">
        <f aca="false">IF(Jobs!$A27="","",Jobs!$U27)</f>
        <v>0</v>
      </c>
      <c r="H27" s="42" t="n">
        <f aca="false">IF(Jobs!$A27="","",Jobs!$V27)</f>
        <v>0</v>
      </c>
      <c r="I27" s="42" t="n">
        <f aca="false">IF(Jobs!$A27="","",Jobs!$X27)</f>
        <v>0</v>
      </c>
      <c r="J27" s="42" t="n">
        <f aca="false">IF(Jobs!$A27="","",Jobs!$Y27)</f>
        <v>0</v>
      </c>
      <c r="K27" s="42" t="n">
        <f aca="false">IF(Jobs!$A27="","",Jobs!$Z27)</f>
        <v>0</v>
      </c>
      <c r="L27" s="41" t="str">
        <f aca="false">IF(Jobs!$A27="","",IF(Jobs!$Z27&lt;&gt;"","Rejected",IF(Jobs!$Y27&lt;&gt;"","Offer",IF(Jobs!$X27&lt;&gt;"","Interview",IF(Jobs!$V27&lt;&gt;"","Responded",IF(Jobs!$U27&lt;&gt;"","Contacted",IF(Jobs!$T27&lt;&gt;"","Applied","Not applied yet")))))))</f>
        <v>Not applied yet</v>
      </c>
      <c r="M27" s="41" t="str">
        <f aca="false">IF(Jobs!$A27="","",Jobs!$AB27)</f>
        <v/>
      </c>
      <c r="N27" s="42" t="n">
        <f aca="false">IF(Jobs!$A27="","",Jobs!$AA27)</f>
        <v>0</v>
      </c>
    </row>
    <row r="28" customFormat="false" ht="15" hidden="false" customHeight="false" outlineLevel="0" collapsed="false">
      <c r="A28" s="41" t="str">
        <f aca="false">IF(Jobs!$A28="","",Jobs!$A28)</f>
        <v>2026-10-027</v>
      </c>
      <c r="B28" s="13" t="str">
        <f aca="false">IF(Jobs!$A28="","",Jobs!$E28)</f>
        <v>Intuit</v>
      </c>
      <c r="C28" s="13" t="str">
        <f aca="false">IF(Jobs!$A28="","",Jobs!$F28)</f>
        <v>Tax Expert - Local</v>
      </c>
      <c r="D28" s="41" t="n">
        <f aca="false">IF(Jobs!$A28="","",Jobs!$P28)</f>
        <v>3</v>
      </c>
      <c r="E28" s="41" t="str">
        <f aca="false">IF(Jobs!$A28="","",Jobs!$S28)</f>
        <v>Identified</v>
      </c>
      <c r="F28" s="42" t="n">
        <f aca="false">IF(Jobs!$A28="","",Jobs!$T28)</f>
        <v>0</v>
      </c>
      <c r="G28" s="42" t="n">
        <f aca="false">IF(Jobs!$A28="","",Jobs!$U28)</f>
        <v>0</v>
      </c>
      <c r="H28" s="42" t="n">
        <f aca="false">IF(Jobs!$A28="","",Jobs!$V28)</f>
        <v>0</v>
      </c>
      <c r="I28" s="42" t="n">
        <f aca="false">IF(Jobs!$A28="","",Jobs!$X28)</f>
        <v>0</v>
      </c>
      <c r="J28" s="42" t="n">
        <f aca="false">IF(Jobs!$A28="","",Jobs!$Y28)</f>
        <v>0</v>
      </c>
      <c r="K28" s="42" t="n">
        <f aca="false">IF(Jobs!$A28="","",Jobs!$Z28)</f>
        <v>0</v>
      </c>
      <c r="L28" s="41" t="str">
        <f aca="false">IF(Jobs!$A28="","",IF(Jobs!$Z28&lt;&gt;"","Rejected",IF(Jobs!$Y28&lt;&gt;"","Offer",IF(Jobs!$X28&lt;&gt;"","Interview",IF(Jobs!$V28&lt;&gt;"","Responded",IF(Jobs!$U28&lt;&gt;"","Contacted",IF(Jobs!$T28&lt;&gt;"","Applied","Not applied yet")))))))</f>
        <v>Not applied yet</v>
      </c>
      <c r="M28" s="41" t="str">
        <f aca="false">IF(Jobs!$A28="","",Jobs!$AB28)</f>
        <v/>
      </c>
      <c r="N28" s="42" t="n">
        <f aca="false">IF(Jobs!$A28="","",Jobs!$AA28)</f>
        <v>0</v>
      </c>
    </row>
    <row r="29" customFormat="false" ht="15" hidden="false" customHeight="false" outlineLevel="0" collapsed="false">
      <c r="A29" s="41" t="str">
        <f aca="false">IF(Jobs!$A29="","",Jobs!$A29)</f>
        <v>2026-10-028</v>
      </c>
      <c r="B29" s="13" t="str">
        <f aca="false">IF(Jobs!$A29="","",Jobs!$E29)</f>
        <v>Pulsar Alarm Systems</v>
      </c>
      <c r="C29" s="13" t="str">
        <f aca="false">IF(Jobs!$A29="","",Jobs!$F29)</f>
        <v>Certified Public Accountant</v>
      </c>
      <c r="D29" s="41" t="n">
        <f aca="false">IF(Jobs!$A29="","",Jobs!$P29)</f>
        <v>3</v>
      </c>
      <c r="E29" s="41" t="str">
        <f aca="false">IF(Jobs!$A29="","",Jobs!$S29)</f>
        <v>Identified</v>
      </c>
      <c r="F29" s="42" t="n">
        <f aca="false">IF(Jobs!$A29="","",Jobs!$T29)</f>
        <v>0</v>
      </c>
      <c r="G29" s="42" t="n">
        <f aca="false">IF(Jobs!$A29="","",Jobs!$U29)</f>
        <v>0</v>
      </c>
      <c r="H29" s="42" t="n">
        <f aca="false">IF(Jobs!$A29="","",Jobs!$V29)</f>
        <v>0</v>
      </c>
      <c r="I29" s="42" t="n">
        <f aca="false">IF(Jobs!$A29="","",Jobs!$X29)</f>
        <v>0</v>
      </c>
      <c r="J29" s="42" t="n">
        <f aca="false">IF(Jobs!$A29="","",Jobs!$Y29)</f>
        <v>0</v>
      </c>
      <c r="K29" s="42" t="n">
        <f aca="false">IF(Jobs!$A29="","",Jobs!$Z29)</f>
        <v>0</v>
      </c>
      <c r="L29" s="41" t="str">
        <f aca="false">IF(Jobs!$A29="","",IF(Jobs!$Z29&lt;&gt;"","Rejected",IF(Jobs!$Y29&lt;&gt;"","Offer",IF(Jobs!$X29&lt;&gt;"","Interview",IF(Jobs!$V29&lt;&gt;"","Responded",IF(Jobs!$U29&lt;&gt;"","Contacted",IF(Jobs!$T29&lt;&gt;"","Applied","Not applied yet")))))))</f>
        <v>Not applied yet</v>
      </c>
      <c r="M29" s="41" t="str">
        <f aca="false">IF(Jobs!$A29="","",Jobs!$AB29)</f>
        <v/>
      </c>
      <c r="N29" s="42" t="n">
        <f aca="false">IF(Jobs!$A29="","",Jobs!$AA29)</f>
        <v>0</v>
      </c>
    </row>
    <row r="30" customFormat="false" ht="22.35" hidden="false" customHeight="false" outlineLevel="0" collapsed="false">
      <c r="A30" s="41" t="str">
        <f aca="false">IF(Jobs!$A30="","",Jobs!$A30)</f>
        <v>2026-10-029</v>
      </c>
      <c r="B30" s="13" t="str">
        <f aca="false">IF(Jobs!$A30="","",Jobs!$E30)</f>
        <v>BAE Systems</v>
      </c>
      <c r="C30" s="13" t="str">
        <f aca="false">IF(Jobs!$A30="","",Jobs!$F30)</f>
        <v>Senior Program Control Analyst, EAS Finance (Hybrid)</v>
      </c>
      <c r="D30" s="41" t="n">
        <f aca="false">IF(Jobs!$A30="","",Jobs!$P30)</f>
        <v>3</v>
      </c>
      <c r="E30" s="41" t="str">
        <f aca="false">IF(Jobs!$A30="","",Jobs!$S30)</f>
        <v>Identified</v>
      </c>
      <c r="F30" s="42" t="n">
        <f aca="false">IF(Jobs!$A30="","",Jobs!$T30)</f>
        <v>0</v>
      </c>
      <c r="G30" s="42" t="n">
        <f aca="false">IF(Jobs!$A30="","",Jobs!$U30)</f>
        <v>0</v>
      </c>
      <c r="H30" s="42" t="n">
        <f aca="false">IF(Jobs!$A30="","",Jobs!$V30)</f>
        <v>0</v>
      </c>
      <c r="I30" s="42" t="n">
        <f aca="false">IF(Jobs!$A30="","",Jobs!$X30)</f>
        <v>0</v>
      </c>
      <c r="J30" s="42" t="n">
        <f aca="false">IF(Jobs!$A30="","",Jobs!$Y30)</f>
        <v>0</v>
      </c>
      <c r="K30" s="42" t="n">
        <f aca="false">IF(Jobs!$A30="","",Jobs!$Z30)</f>
        <v>0</v>
      </c>
      <c r="L30" s="41" t="str">
        <f aca="false">IF(Jobs!$A30="","",IF(Jobs!$Z30&lt;&gt;"","Rejected",IF(Jobs!$Y30&lt;&gt;"","Offer",IF(Jobs!$X30&lt;&gt;"","Interview",IF(Jobs!$V30&lt;&gt;"","Responded",IF(Jobs!$U30&lt;&gt;"","Contacted",IF(Jobs!$T30&lt;&gt;"","Applied","Not applied yet")))))))</f>
        <v>Not applied yet</v>
      </c>
      <c r="M30" s="41" t="str">
        <f aca="false">IF(Jobs!$A30="","",Jobs!$AB30)</f>
        <v/>
      </c>
      <c r="N30" s="42" t="n">
        <f aca="false">IF(Jobs!$A30="","",Jobs!$AA30)</f>
        <v>0</v>
      </c>
    </row>
    <row r="31" customFormat="false" ht="22.35" hidden="false" customHeight="false" outlineLevel="0" collapsed="false">
      <c r="A31" s="41" t="str">
        <f aca="false">IF(Jobs!$A31="","",Jobs!$A31)</f>
        <v>2026-10-030</v>
      </c>
      <c r="B31" s="13" t="str">
        <f aca="false">IF(Jobs!$A31="","",Jobs!$E31)</f>
        <v>Your Part-Time Controller, LLC</v>
      </c>
      <c r="C31" s="13" t="str">
        <f aca="false">IF(Jobs!$A31="","",Jobs!$F31)</f>
        <v>Accountant (Fractional/Outsourced)</v>
      </c>
      <c r="D31" s="41" t="n">
        <f aca="false">IF(Jobs!$A31="","",Jobs!$P31)</f>
        <v>5</v>
      </c>
      <c r="E31" s="41" t="str">
        <f aca="false">IF(Jobs!$A31="","",Jobs!$S31)</f>
        <v>Identified</v>
      </c>
      <c r="F31" s="42" t="n">
        <f aca="false">IF(Jobs!$A31="","",Jobs!$T31)</f>
        <v>0</v>
      </c>
      <c r="G31" s="42" t="n">
        <f aca="false">IF(Jobs!$A31="","",Jobs!$U31)</f>
        <v>0</v>
      </c>
      <c r="H31" s="42" t="n">
        <f aca="false">IF(Jobs!$A31="","",Jobs!$V31)</f>
        <v>0</v>
      </c>
      <c r="I31" s="42" t="n">
        <f aca="false">IF(Jobs!$A31="","",Jobs!$X31)</f>
        <v>0</v>
      </c>
      <c r="J31" s="42" t="n">
        <f aca="false">IF(Jobs!$A31="","",Jobs!$Y31)</f>
        <v>0</v>
      </c>
      <c r="K31" s="42" t="n">
        <f aca="false">IF(Jobs!$A31="","",Jobs!$Z31)</f>
        <v>0</v>
      </c>
      <c r="L31" s="41" t="str">
        <f aca="false">IF(Jobs!$A31="","",IF(Jobs!$Z31&lt;&gt;"","Rejected",IF(Jobs!$Y31&lt;&gt;"","Offer",IF(Jobs!$X31&lt;&gt;"","Interview",IF(Jobs!$V31&lt;&gt;"","Responded",IF(Jobs!$U31&lt;&gt;"","Contacted",IF(Jobs!$T31&lt;&gt;"","Applied","Not applied yet")))))))</f>
        <v>Not applied yet</v>
      </c>
      <c r="M31" s="41" t="str">
        <f aca="false">IF(Jobs!$A31="","",Jobs!$AB31)</f>
        <v/>
      </c>
      <c r="N31" s="42" t="n">
        <f aca="false">IF(Jobs!$A31="","",Jobs!$AA31)</f>
        <v>0</v>
      </c>
    </row>
    <row r="32" customFormat="false" ht="15" hidden="false" customHeight="false" outlineLevel="0" collapsed="false">
      <c r="A32" s="41" t="str">
        <f aca="false">IF(Jobs!$A32="","",Jobs!$A32)</f>
        <v>2026-10-031</v>
      </c>
      <c r="B32" s="13" t="str">
        <f aca="false">IF(Jobs!$A32="","",Jobs!$E32)</f>
        <v>Roessel Joy</v>
      </c>
      <c r="C32" s="13" t="str">
        <f aca="false">IF(Jobs!$A32="","",Jobs!$F32)</f>
        <v>Staff Accountant / Bookkeeper</v>
      </c>
      <c r="D32" s="41" t="n">
        <f aca="false">IF(Jobs!$A32="","",Jobs!$P32)</f>
        <v>5</v>
      </c>
      <c r="E32" s="41" t="str">
        <f aca="false">IF(Jobs!$A32="","",Jobs!$S32)</f>
        <v>Identified</v>
      </c>
      <c r="F32" s="42" t="n">
        <f aca="false">IF(Jobs!$A32="","",Jobs!$T32)</f>
        <v>0</v>
      </c>
      <c r="G32" s="42" t="n">
        <f aca="false">IF(Jobs!$A32="","",Jobs!$U32)</f>
        <v>0</v>
      </c>
      <c r="H32" s="42" t="n">
        <f aca="false">IF(Jobs!$A32="","",Jobs!$V32)</f>
        <v>0</v>
      </c>
      <c r="I32" s="42" t="n">
        <f aca="false">IF(Jobs!$A32="","",Jobs!$X32)</f>
        <v>0</v>
      </c>
      <c r="J32" s="42" t="n">
        <f aca="false">IF(Jobs!$A32="","",Jobs!$Y32)</f>
        <v>0</v>
      </c>
      <c r="K32" s="42" t="n">
        <f aca="false">IF(Jobs!$A32="","",Jobs!$Z32)</f>
        <v>0</v>
      </c>
      <c r="L32" s="41" t="str">
        <f aca="false">IF(Jobs!$A32="","",IF(Jobs!$Z32&lt;&gt;"","Rejected",IF(Jobs!$Y32&lt;&gt;"","Offer",IF(Jobs!$X32&lt;&gt;"","Interview",IF(Jobs!$V32&lt;&gt;"","Responded",IF(Jobs!$U32&lt;&gt;"","Contacted",IF(Jobs!$T32&lt;&gt;"","Applied","Not applied yet")))))))</f>
        <v>Not applied yet</v>
      </c>
      <c r="M32" s="41" t="str">
        <f aca="false">IF(Jobs!$A32="","",Jobs!$AB32)</f>
        <v/>
      </c>
      <c r="N32" s="42" t="n">
        <f aca="false">IF(Jobs!$A32="","",Jobs!$AA32)</f>
        <v>0</v>
      </c>
    </row>
    <row r="33" customFormat="false" ht="15" hidden="false" customHeight="false" outlineLevel="0" collapsed="false">
      <c r="A33" s="41" t="str">
        <f aca="false">IF(Jobs!$A33="","",Jobs!$A33)</f>
        <v>2026-10-032</v>
      </c>
      <c r="B33" s="13" t="str">
        <f aca="false">IF(Jobs!$A33="","",Jobs!$E33)</f>
        <v>LVR Corporation</v>
      </c>
      <c r="C33" s="13" t="str">
        <f aca="false">IF(Jobs!$A33="","",Jobs!$F33)</f>
        <v>Office Administrator / Bookkeeper</v>
      </c>
      <c r="D33" s="41" t="n">
        <f aca="false">IF(Jobs!$A33="","",Jobs!$P33)</f>
        <v>5</v>
      </c>
      <c r="E33" s="41" t="str">
        <f aca="false">IF(Jobs!$A33="","",Jobs!$S33)</f>
        <v>Identified</v>
      </c>
      <c r="F33" s="42" t="n">
        <f aca="false">IF(Jobs!$A33="","",Jobs!$T33)</f>
        <v>0</v>
      </c>
      <c r="G33" s="42" t="n">
        <f aca="false">IF(Jobs!$A33="","",Jobs!$U33)</f>
        <v>0</v>
      </c>
      <c r="H33" s="42" t="n">
        <f aca="false">IF(Jobs!$A33="","",Jobs!$V33)</f>
        <v>0</v>
      </c>
      <c r="I33" s="42" t="n">
        <f aca="false">IF(Jobs!$A33="","",Jobs!$X33)</f>
        <v>0</v>
      </c>
      <c r="J33" s="42" t="n">
        <f aca="false">IF(Jobs!$A33="","",Jobs!$Y33)</f>
        <v>0</v>
      </c>
      <c r="K33" s="42" t="n">
        <f aca="false">IF(Jobs!$A33="","",Jobs!$Z33)</f>
        <v>0</v>
      </c>
      <c r="L33" s="41" t="str">
        <f aca="false">IF(Jobs!$A33="","",IF(Jobs!$Z33&lt;&gt;"","Rejected",IF(Jobs!$Y33&lt;&gt;"","Offer",IF(Jobs!$X33&lt;&gt;"","Interview",IF(Jobs!$V33&lt;&gt;"","Responded",IF(Jobs!$U33&lt;&gt;"","Contacted",IF(Jobs!$T33&lt;&gt;"","Applied","Not applied yet")))))))</f>
        <v>Not applied yet</v>
      </c>
      <c r="M33" s="41" t="str">
        <f aca="false">IF(Jobs!$A33="","",Jobs!$AB33)</f>
        <v/>
      </c>
      <c r="N33" s="42" t="n">
        <f aca="false">IF(Jobs!$A33="","",Jobs!$AA33)</f>
        <v>0</v>
      </c>
    </row>
    <row r="34" customFormat="false" ht="15" hidden="false" customHeight="false" outlineLevel="0" collapsed="false">
      <c r="A34" s="41" t="str">
        <f aca="false">IF(Jobs!$A34="","",Jobs!$A34)</f>
        <v>2026-10-033</v>
      </c>
      <c r="B34" s="13" t="str">
        <f aca="false">IF(Jobs!$A34="","",Jobs!$E34)</f>
        <v>Drewnick Bookkeeping LLC</v>
      </c>
      <c r="C34" s="13" t="str">
        <f aca="false">IF(Jobs!$A34="","",Jobs!$F34)</f>
        <v>Bookkeeper</v>
      </c>
      <c r="D34" s="41" t="n">
        <f aca="false">IF(Jobs!$A34="","",Jobs!$P34)</f>
        <v>5</v>
      </c>
      <c r="E34" s="41" t="str">
        <f aca="false">IF(Jobs!$A34="","",Jobs!$S34)</f>
        <v>Identified</v>
      </c>
      <c r="F34" s="42" t="n">
        <f aca="false">IF(Jobs!$A34="","",Jobs!$T34)</f>
        <v>0</v>
      </c>
      <c r="G34" s="42" t="n">
        <f aca="false">IF(Jobs!$A34="","",Jobs!$U34)</f>
        <v>0</v>
      </c>
      <c r="H34" s="42" t="n">
        <f aca="false">IF(Jobs!$A34="","",Jobs!$V34)</f>
        <v>0</v>
      </c>
      <c r="I34" s="42" t="n">
        <f aca="false">IF(Jobs!$A34="","",Jobs!$X34)</f>
        <v>0</v>
      </c>
      <c r="J34" s="42" t="n">
        <f aca="false">IF(Jobs!$A34="","",Jobs!$Y34)</f>
        <v>0</v>
      </c>
      <c r="K34" s="42" t="n">
        <f aca="false">IF(Jobs!$A34="","",Jobs!$Z34)</f>
        <v>0</v>
      </c>
      <c r="L34" s="41" t="str">
        <f aca="false">IF(Jobs!$A34="","",IF(Jobs!$Z34&lt;&gt;"","Rejected",IF(Jobs!$Y34&lt;&gt;"","Offer",IF(Jobs!$X34&lt;&gt;"","Interview",IF(Jobs!$V34&lt;&gt;"","Responded",IF(Jobs!$U34&lt;&gt;"","Contacted",IF(Jobs!$T34&lt;&gt;"","Applied","Not applied yet")))))))</f>
        <v>Not applied yet</v>
      </c>
      <c r="M34" s="41" t="str">
        <f aca="false">IF(Jobs!$A34="","",Jobs!$AB34)</f>
        <v/>
      </c>
      <c r="N34" s="42" t="n">
        <f aca="false">IF(Jobs!$A34="","",Jobs!$AA34)</f>
        <v>0</v>
      </c>
    </row>
    <row r="35" customFormat="false" ht="22.35" hidden="false" customHeight="false" outlineLevel="0" collapsed="false">
      <c r="A35" s="41" t="str">
        <f aca="false">IF(Jobs!$A35="","",Jobs!$A35)</f>
        <v>2026-10-034</v>
      </c>
      <c r="B35" s="13" t="str">
        <f aca="false">IF(Jobs!$A35="","",Jobs!$E35)</f>
        <v>Kelly Auto Group</v>
      </c>
      <c r="C35" s="13" t="str">
        <f aca="false">IF(Jobs!$A35="","",Jobs!$F35)</f>
        <v>Auto Dealership Accountant / Bookkeeper</v>
      </c>
      <c r="D35" s="41" t="n">
        <f aca="false">IF(Jobs!$A35="","",Jobs!$P35)</f>
        <v>3</v>
      </c>
      <c r="E35" s="41" t="str">
        <f aca="false">IF(Jobs!$A35="","",Jobs!$S35)</f>
        <v>Identified</v>
      </c>
      <c r="F35" s="42" t="n">
        <f aca="false">IF(Jobs!$A35="","",Jobs!$T35)</f>
        <v>0</v>
      </c>
      <c r="G35" s="42" t="n">
        <f aca="false">IF(Jobs!$A35="","",Jobs!$U35)</f>
        <v>0</v>
      </c>
      <c r="H35" s="42" t="n">
        <f aca="false">IF(Jobs!$A35="","",Jobs!$V35)</f>
        <v>0</v>
      </c>
      <c r="I35" s="42" t="n">
        <f aca="false">IF(Jobs!$A35="","",Jobs!$X35)</f>
        <v>0</v>
      </c>
      <c r="J35" s="42" t="n">
        <f aca="false">IF(Jobs!$A35="","",Jobs!$Y35)</f>
        <v>0</v>
      </c>
      <c r="K35" s="42" t="n">
        <f aca="false">IF(Jobs!$A35="","",Jobs!$Z35)</f>
        <v>0</v>
      </c>
      <c r="L35" s="41" t="str">
        <f aca="false">IF(Jobs!$A35="","",IF(Jobs!$Z35&lt;&gt;"","Rejected",IF(Jobs!$Y35&lt;&gt;"","Offer",IF(Jobs!$X35&lt;&gt;"","Interview",IF(Jobs!$V35&lt;&gt;"","Responded",IF(Jobs!$U35&lt;&gt;"","Contacted",IF(Jobs!$T35&lt;&gt;"","Applied","Not applied yet")))))))</f>
        <v>Not applied yet</v>
      </c>
      <c r="M35" s="41" t="str">
        <f aca="false">IF(Jobs!$A35="","",Jobs!$AB35)</f>
        <v/>
      </c>
      <c r="N35" s="42" t="n">
        <f aca="false">IF(Jobs!$A35="","",Jobs!$AA35)</f>
        <v>0</v>
      </c>
    </row>
    <row r="36" customFormat="false" ht="15" hidden="false" customHeight="false" outlineLevel="0" collapsed="false">
      <c r="A36" s="41" t="str">
        <f aca="false">IF(Jobs!$A36="","",Jobs!$A36)</f>
        <v>2026-10-035</v>
      </c>
      <c r="B36" s="13" t="str">
        <f aca="false">IF(Jobs!$A36="","",Jobs!$E36)</f>
        <v>Lowell Catholic High School</v>
      </c>
      <c r="C36" s="13" t="str">
        <f aca="false">IF(Jobs!$A36="","",Jobs!$F36)</f>
        <v>Finance Associate</v>
      </c>
      <c r="D36" s="41" t="n">
        <f aca="false">IF(Jobs!$A36="","",Jobs!$P36)</f>
        <v>3</v>
      </c>
      <c r="E36" s="41" t="str">
        <f aca="false">IF(Jobs!$A36="","",Jobs!$S36)</f>
        <v>Identified</v>
      </c>
      <c r="F36" s="42" t="n">
        <f aca="false">IF(Jobs!$A36="","",Jobs!$T36)</f>
        <v>0</v>
      </c>
      <c r="G36" s="42" t="n">
        <f aca="false">IF(Jobs!$A36="","",Jobs!$U36)</f>
        <v>0</v>
      </c>
      <c r="H36" s="42" t="n">
        <f aca="false">IF(Jobs!$A36="","",Jobs!$V36)</f>
        <v>0</v>
      </c>
      <c r="I36" s="42" t="n">
        <f aca="false">IF(Jobs!$A36="","",Jobs!$X36)</f>
        <v>0</v>
      </c>
      <c r="J36" s="42" t="n">
        <f aca="false">IF(Jobs!$A36="","",Jobs!$Y36)</f>
        <v>0</v>
      </c>
      <c r="K36" s="42" t="n">
        <f aca="false">IF(Jobs!$A36="","",Jobs!$Z36)</f>
        <v>0</v>
      </c>
      <c r="L36" s="41" t="str">
        <f aca="false">IF(Jobs!$A36="","",IF(Jobs!$Z36&lt;&gt;"","Rejected",IF(Jobs!$Y36&lt;&gt;"","Offer",IF(Jobs!$X36&lt;&gt;"","Interview",IF(Jobs!$V36&lt;&gt;"","Responded",IF(Jobs!$U36&lt;&gt;"","Contacted",IF(Jobs!$T36&lt;&gt;"","Applied","Not applied yet")))))))</f>
        <v>Not applied yet</v>
      </c>
      <c r="M36" s="41" t="str">
        <f aca="false">IF(Jobs!$A36="","",Jobs!$AB36)</f>
        <v/>
      </c>
      <c r="N36" s="42" t="n">
        <f aca="false">IF(Jobs!$A36="","",Jobs!$AA36)</f>
        <v>0</v>
      </c>
    </row>
    <row r="37" customFormat="false" ht="15" hidden="false" customHeight="false" outlineLevel="0" collapsed="false">
      <c r="A37" s="41" t="str">
        <f aca="false">IF(Jobs!$A37="","",Jobs!$A37)</f>
        <v>2026-10-036</v>
      </c>
      <c r="B37" s="13" t="str">
        <f aca="false">IF(Jobs!$A37="","",Jobs!$E37)</f>
        <v>Dumpsters R Us</v>
      </c>
      <c r="C37" s="13" t="str">
        <f aca="false">IF(Jobs!$A37="","",Jobs!$F37)</f>
        <v>Accounting Specialist</v>
      </c>
      <c r="D37" s="41" t="n">
        <f aca="false">IF(Jobs!$A37="","",Jobs!$P37)</f>
        <v>5</v>
      </c>
      <c r="E37" s="41" t="str">
        <f aca="false">IF(Jobs!$A37="","",Jobs!$S37)</f>
        <v>Identified</v>
      </c>
      <c r="F37" s="42" t="n">
        <f aca="false">IF(Jobs!$A37="","",Jobs!$T37)</f>
        <v>0</v>
      </c>
      <c r="G37" s="42" t="n">
        <f aca="false">IF(Jobs!$A37="","",Jobs!$U37)</f>
        <v>0</v>
      </c>
      <c r="H37" s="42" t="n">
        <f aca="false">IF(Jobs!$A37="","",Jobs!$V37)</f>
        <v>0</v>
      </c>
      <c r="I37" s="42" t="n">
        <f aca="false">IF(Jobs!$A37="","",Jobs!$X37)</f>
        <v>0</v>
      </c>
      <c r="J37" s="42" t="n">
        <f aca="false">IF(Jobs!$A37="","",Jobs!$Y37)</f>
        <v>0</v>
      </c>
      <c r="K37" s="42" t="n">
        <f aca="false">IF(Jobs!$A37="","",Jobs!$Z37)</f>
        <v>0</v>
      </c>
      <c r="L37" s="41" t="str">
        <f aca="false">IF(Jobs!$A37="","",IF(Jobs!$Z37&lt;&gt;"","Rejected",IF(Jobs!$Y37&lt;&gt;"","Offer",IF(Jobs!$X37&lt;&gt;"","Interview",IF(Jobs!$V37&lt;&gt;"","Responded",IF(Jobs!$U37&lt;&gt;"","Contacted",IF(Jobs!$T37&lt;&gt;"","Applied","Not applied yet")))))))</f>
        <v>Not applied yet</v>
      </c>
      <c r="M37" s="41" t="str">
        <f aca="false">IF(Jobs!$A37="","",Jobs!$AB37)</f>
        <v/>
      </c>
      <c r="N37" s="42" t="n">
        <f aca="false">IF(Jobs!$A37="","",Jobs!$AA37)</f>
        <v>0</v>
      </c>
    </row>
    <row r="38" customFormat="false" ht="15" hidden="false" customHeight="false" outlineLevel="0" collapsed="false">
      <c r="A38" s="41" t="str">
        <f aca="false">IF(Jobs!$A38="","",Jobs!$A38)</f>
        <v>2026-10-037</v>
      </c>
      <c r="B38" s="13" t="str">
        <f aca="false">IF(Jobs!$A38="","",Jobs!$E38)</f>
        <v>Woodfield Commons</v>
      </c>
      <c r="C38" s="13" t="str">
        <f aca="false">IF(Jobs!$A38="","",Jobs!$F38)</f>
        <v>Property Accountant</v>
      </c>
      <c r="D38" s="41" t="n">
        <f aca="false">IF(Jobs!$A38="","",Jobs!$P38)</f>
        <v>5</v>
      </c>
      <c r="E38" s="41" t="str">
        <f aca="false">IF(Jobs!$A38="","",Jobs!$S38)</f>
        <v>Identified</v>
      </c>
      <c r="F38" s="42" t="n">
        <f aca="false">IF(Jobs!$A38="","",Jobs!$T38)</f>
        <v>0</v>
      </c>
      <c r="G38" s="42" t="n">
        <f aca="false">IF(Jobs!$A38="","",Jobs!$U38)</f>
        <v>0</v>
      </c>
      <c r="H38" s="42" t="n">
        <f aca="false">IF(Jobs!$A38="","",Jobs!$V38)</f>
        <v>0</v>
      </c>
      <c r="I38" s="42" t="n">
        <f aca="false">IF(Jobs!$A38="","",Jobs!$X38)</f>
        <v>0</v>
      </c>
      <c r="J38" s="42" t="n">
        <f aca="false">IF(Jobs!$A38="","",Jobs!$Y38)</f>
        <v>0</v>
      </c>
      <c r="K38" s="42" t="n">
        <f aca="false">IF(Jobs!$A38="","",Jobs!$Z38)</f>
        <v>0</v>
      </c>
      <c r="L38" s="41" t="str">
        <f aca="false">IF(Jobs!$A38="","",IF(Jobs!$Z38&lt;&gt;"","Rejected",IF(Jobs!$Y38&lt;&gt;"","Offer",IF(Jobs!$X38&lt;&gt;"","Interview",IF(Jobs!$V38&lt;&gt;"","Responded",IF(Jobs!$U38&lt;&gt;"","Contacted",IF(Jobs!$T38&lt;&gt;"","Applied","Not applied yet")))))))</f>
        <v>Not applied yet</v>
      </c>
      <c r="M38" s="41" t="str">
        <f aca="false">IF(Jobs!$A38="","",Jobs!$AB38)</f>
        <v/>
      </c>
      <c r="N38" s="42" t="n">
        <f aca="false">IF(Jobs!$A38="","",Jobs!$AA38)</f>
        <v>0</v>
      </c>
    </row>
    <row r="39" customFormat="false" ht="15" hidden="false" customHeight="false" outlineLevel="0" collapsed="false">
      <c r="A39" s="41" t="str">
        <f aca="false">IF(Jobs!$A39="","",Jobs!$A39)</f>
        <v>2026-10-038</v>
      </c>
      <c r="B39" s="13" t="str">
        <f aca="false">IF(Jobs!$A39="","",Jobs!$E39)</f>
        <v>Straumann Group</v>
      </c>
      <c r="C39" s="13" t="str">
        <f aca="false">IF(Jobs!$A39="","",Jobs!$F39)</f>
        <v>Cost Accountant (Manufacturing)</v>
      </c>
      <c r="D39" s="41" t="n">
        <f aca="false">IF(Jobs!$A39="","",Jobs!$P39)</f>
        <v>3</v>
      </c>
      <c r="E39" s="41" t="str">
        <f aca="false">IF(Jobs!$A39="","",Jobs!$S39)</f>
        <v>Identified</v>
      </c>
      <c r="F39" s="42" t="n">
        <f aca="false">IF(Jobs!$A39="","",Jobs!$T39)</f>
        <v>0</v>
      </c>
      <c r="G39" s="42" t="n">
        <f aca="false">IF(Jobs!$A39="","",Jobs!$U39)</f>
        <v>0</v>
      </c>
      <c r="H39" s="42" t="n">
        <f aca="false">IF(Jobs!$A39="","",Jobs!$V39)</f>
        <v>0</v>
      </c>
      <c r="I39" s="42" t="n">
        <f aca="false">IF(Jobs!$A39="","",Jobs!$X39)</f>
        <v>0</v>
      </c>
      <c r="J39" s="42" t="n">
        <f aca="false">IF(Jobs!$A39="","",Jobs!$Y39)</f>
        <v>0</v>
      </c>
      <c r="K39" s="42" t="n">
        <f aca="false">IF(Jobs!$A39="","",Jobs!$Z39)</f>
        <v>0</v>
      </c>
      <c r="L39" s="41" t="str">
        <f aca="false">IF(Jobs!$A39="","",IF(Jobs!$Z39&lt;&gt;"","Rejected",IF(Jobs!$Y39&lt;&gt;"","Offer",IF(Jobs!$X39&lt;&gt;"","Interview",IF(Jobs!$V39&lt;&gt;"","Responded",IF(Jobs!$U39&lt;&gt;"","Contacted",IF(Jobs!$T39&lt;&gt;"","Applied","Not applied yet")))))))</f>
        <v>Not applied yet</v>
      </c>
      <c r="M39" s="41" t="str">
        <f aca="false">IF(Jobs!$A39="","",Jobs!$AB39)</f>
        <v/>
      </c>
      <c r="N39" s="42" t="n">
        <f aca="false">IF(Jobs!$A39="","",Jobs!$AA39)</f>
        <v>0</v>
      </c>
    </row>
    <row r="40" customFormat="false" ht="15" hidden="false" customHeight="false" outlineLevel="0" collapsed="false">
      <c r="A40" s="41" t="str">
        <f aca="false">IF(Jobs!$A40="","",Jobs!$A40)</f>
        <v>2026-10-039</v>
      </c>
      <c r="B40" s="13" t="str">
        <f aca="false">IF(Jobs!$A40="","",Jobs!$E40)</f>
        <v>Donovan, Sullivan &amp; Ryan</v>
      </c>
      <c r="C40" s="13" t="str">
        <f aca="false">IF(Jobs!$A40="","",Jobs!$F40)</f>
        <v>Tax Accountant – Entry Level</v>
      </c>
      <c r="D40" s="41" t="n">
        <f aca="false">IF(Jobs!$A40="","",Jobs!$P40)</f>
        <v>5</v>
      </c>
      <c r="E40" s="41" t="str">
        <f aca="false">IF(Jobs!$A40="","",Jobs!$S40)</f>
        <v>Identified</v>
      </c>
      <c r="F40" s="42" t="n">
        <f aca="false">IF(Jobs!$A40="","",Jobs!$T40)</f>
        <v>0</v>
      </c>
      <c r="G40" s="42" t="n">
        <f aca="false">IF(Jobs!$A40="","",Jobs!$U40)</f>
        <v>0</v>
      </c>
      <c r="H40" s="42" t="n">
        <f aca="false">IF(Jobs!$A40="","",Jobs!$V40)</f>
        <v>0</v>
      </c>
      <c r="I40" s="42" t="n">
        <f aca="false">IF(Jobs!$A40="","",Jobs!$X40)</f>
        <v>0</v>
      </c>
      <c r="J40" s="42" t="n">
        <f aca="false">IF(Jobs!$A40="","",Jobs!$Y40)</f>
        <v>0</v>
      </c>
      <c r="K40" s="42" t="n">
        <f aca="false">IF(Jobs!$A40="","",Jobs!$Z40)</f>
        <v>0</v>
      </c>
      <c r="L40" s="41" t="str">
        <f aca="false">IF(Jobs!$A40="","",IF(Jobs!$Z40&lt;&gt;"","Rejected",IF(Jobs!$Y40&lt;&gt;"","Offer",IF(Jobs!$X40&lt;&gt;"","Interview",IF(Jobs!$V40&lt;&gt;"","Responded",IF(Jobs!$U40&lt;&gt;"","Contacted",IF(Jobs!$T40&lt;&gt;"","Applied","Not applied yet")))))))</f>
        <v>Not applied yet</v>
      </c>
      <c r="M40" s="41" t="str">
        <f aca="false">IF(Jobs!$A40="","",Jobs!$AB40)</f>
        <v/>
      </c>
      <c r="N40" s="42" t="n">
        <f aca="false">IF(Jobs!$A40="","",Jobs!$AA40)</f>
        <v>0</v>
      </c>
    </row>
    <row r="41" customFormat="false" ht="15" hidden="false" customHeight="false" outlineLevel="0" collapsed="false">
      <c r="A41" s="41" t="str">
        <f aca="false">IF(Jobs!$A41="","",Jobs!$A41)</f>
        <v>2026-10-040</v>
      </c>
      <c r="B41" s="13" t="str">
        <f aca="false">IF(Jobs!$A41="","",Jobs!$E41)</f>
        <v>David Miller CPA LLC</v>
      </c>
      <c r="C41" s="13" t="str">
        <f aca="false">IF(Jobs!$A41="","",Jobs!$F41)</f>
        <v>Tax Accountant</v>
      </c>
      <c r="D41" s="41" t="n">
        <f aca="false">IF(Jobs!$A41="","",Jobs!$P41)</f>
        <v>3</v>
      </c>
      <c r="E41" s="41" t="str">
        <f aca="false">IF(Jobs!$A41="","",Jobs!$S41)</f>
        <v>Identified</v>
      </c>
      <c r="F41" s="42" t="n">
        <f aca="false">IF(Jobs!$A41="","",Jobs!$T41)</f>
        <v>0</v>
      </c>
      <c r="G41" s="42" t="n">
        <f aca="false">IF(Jobs!$A41="","",Jobs!$U41)</f>
        <v>0</v>
      </c>
      <c r="H41" s="42" t="n">
        <f aca="false">IF(Jobs!$A41="","",Jobs!$V41)</f>
        <v>0</v>
      </c>
      <c r="I41" s="42" t="n">
        <f aca="false">IF(Jobs!$A41="","",Jobs!$X41)</f>
        <v>0</v>
      </c>
      <c r="J41" s="42" t="n">
        <f aca="false">IF(Jobs!$A41="","",Jobs!$Y41)</f>
        <v>0</v>
      </c>
      <c r="K41" s="42" t="n">
        <f aca="false">IF(Jobs!$A41="","",Jobs!$Z41)</f>
        <v>0</v>
      </c>
      <c r="L41" s="41" t="str">
        <f aca="false">IF(Jobs!$A41="","",IF(Jobs!$Z41&lt;&gt;"","Rejected",IF(Jobs!$Y41&lt;&gt;"","Offer",IF(Jobs!$X41&lt;&gt;"","Interview",IF(Jobs!$V41&lt;&gt;"","Responded",IF(Jobs!$U41&lt;&gt;"","Contacted",IF(Jobs!$T41&lt;&gt;"","Applied","Not applied yet")))))))</f>
        <v>Not applied yet</v>
      </c>
      <c r="M41" s="41" t="str">
        <f aca="false">IF(Jobs!$A41="","",Jobs!$AB41)</f>
        <v/>
      </c>
      <c r="N41" s="42" t="n">
        <f aca="false">IF(Jobs!$A41="","",Jobs!$AA41)</f>
        <v>0</v>
      </c>
    </row>
    <row r="42" customFormat="false" ht="15" hidden="false" customHeight="false" outlineLevel="0" collapsed="false">
      <c r="A42" s="41" t="str">
        <f aca="false">IF(Jobs!$A42="","",Jobs!$A42)</f>
        <v>2026-10-041</v>
      </c>
      <c r="B42" s="13" t="str">
        <f aca="false">IF(Jobs!$A42="","",Jobs!$E42)</f>
        <v>Robert Reiser &amp; Company</v>
      </c>
      <c r="C42" s="13" t="str">
        <f aca="false">IF(Jobs!$A42="","",Jobs!$F42)</f>
        <v>Senior Accountant</v>
      </c>
      <c r="D42" s="41" t="n">
        <f aca="false">IF(Jobs!$A42="","",Jobs!$P42)</f>
        <v>3</v>
      </c>
      <c r="E42" s="41" t="str">
        <f aca="false">IF(Jobs!$A42="","",Jobs!$S42)</f>
        <v>Identified</v>
      </c>
      <c r="F42" s="42" t="n">
        <f aca="false">IF(Jobs!$A42="","",Jobs!$T42)</f>
        <v>0</v>
      </c>
      <c r="G42" s="42" t="n">
        <f aca="false">IF(Jobs!$A42="","",Jobs!$U42)</f>
        <v>0</v>
      </c>
      <c r="H42" s="42" t="n">
        <f aca="false">IF(Jobs!$A42="","",Jobs!$V42)</f>
        <v>0</v>
      </c>
      <c r="I42" s="42" t="n">
        <f aca="false">IF(Jobs!$A42="","",Jobs!$X42)</f>
        <v>0</v>
      </c>
      <c r="J42" s="42" t="n">
        <f aca="false">IF(Jobs!$A42="","",Jobs!$Y42)</f>
        <v>0</v>
      </c>
      <c r="K42" s="42" t="n">
        <f aca="false">IF(Jobs!$A42="","",Jobs!$Z42)</f>
        <v>0</v>
      </c>
      <c r="L42" s="41" t="str">
        <f aca="false">IF(Jobs!$A42="","",IF(Jobs!$Z42&lt;&gt;"","Rejected",IF(Jobs!$Y42&lt;&gt;"","Offer",IF(Jobs!$X42&lt;&gt;"","Interview",IF(Jobs!$V42&lt;&gt;"","Responded",IF(Jobs!$U42&lt;&gt;"","Contacted",IF(Jobs!$T42&lt;&gt;"","Applied","Not applied yet")))))))</f>
        <v>Not applied yet</v>
      </c>
      <c r="M42" s="41" t="str">
        <f aca="false">IF(Jobs!$A42="","",Jobs!$AB42)</f>
        <v/>
      </c>
      <c r="N42" s="42" t="n">
        <f aca="false">IF(Jobs!$A42="","",Jobs!$AA42)</f>
        <v>0</v>
      </c>
    </row>
    <row r="43" customFormat="false" ht="15" hidden="false" customHeight="false" outlineLevel="0" collapsed="false">
      <c r="A43" s="41" t="str">
        <f aca="false">IF(Jobs!$A43="","",Jobs!$A43)</f>
        <v>2026-10-042</v>
      </c>
      <c r="B43" s="13" t="str">
        <f aca="false">IF(Jobs!$A43="","",Jobs!$E43)</f>
        <v>New Balance</v>
      </c>
      <c r="C43" s="13" t="str">
        <f aca="false">IF(Jobs!$A43="","",Jobs!$F43)</f>
        <v>Retail Financial Analyst</v>
      </c>
      <c r="D43" s="41" t="n">
        <f aca="false">IF(Jobs!$A43="","",Jobs!$P43)</f>
        <v>5</v>
      </c>
      <c r="E43" s="41" t="str">
        <f aca="false">IF(Jobs!$A43="","",Jobs!$S43)</f>
        <v>Identified</v>
      </c>
      <c r="F43" s="42" t="n">
        <f aca="false">IF(Jobs!$A43="","",Jobs!$T43)</f>
        <v>0</v>
      </c>
      <c r="G43" s="42" t="n">
        <f aca="false">IF(Jobs!$A43="","",Jobs!$U43)</f>
        <v>0</v>
      </c>
      <c r="H43" s="42" t="n">
        <f aca="false">IF(Jobs!$A43="","",Jobs!$V43)</f>
        <v>0</v>
      </c>
      <c r="I43" s="42" t="n">
        <f aca="false">IF(Jobs!$A43="","",Jobs!$X43)</f>
        <v>0</v>
      </c>
      <c r="J43" s="42" t="n">
        <f aca="false">IF(Jobs!$A43="","",Jobs!$Y43)</f>
        <v>0</v>
      </c>
      <c r="K43" s="42" t="n">
        <f aca="false">IF(Jobs!$A43="","",Jobs!$Z43)</f>
        <v>0</v>
      </c>
      <c r="L43" s="41" t="str">
        <f aca="false">IF(Jobs!$A43="","",IF(Jobs!$Z43&lt;&gt;"","Rejected",IF(Jobs!$Y43&lt;&gt;"","Offer",IF(Jobs!$X43&lt;&gt;"","Interview",IF(Jobs!$V43&lt;&gt;"","Responded",IF(Jobs!$U43&lt;&gt;"","Contacted",IF(Jobs!$T43&lt;&gt;"","Applied","Not applied yet")))))))</f>
        <v>Not applied yet</v>
      </c>
      <c r="M43" s="41" t="str">
        <f aca="false">IF(Jobs!$A43="","",Jobs!$AB43)</f>
        <v/>
      </c>
      <c r="N43" s="42" t="n">
        <f aca="false">IF(Jobs!$A43="","",Jobs!$AA43)</f>
        <v>0</v>
      </c>
    </row>
    <row r="44" customFormat="false" ht="15" hidden="false" customHeight="false" outlineLevel="0" collapsed="false">
      <c r="A44" s="41" t="str">
        <f aca="false">IF(Jobs!$A44="","",Jobs!$A44)</f>
        <v>2026-10-043</v>
      </c>
      <c r="B44" s="13" t="str">
        <f aca="false">IF(Jobs!$A44="","",Jobs!$E44)</f>
        <v>Mycronic</v>
      </c>
      <c r="C44" s="13" t="str">
        <f aca="false">IF(Jobs!$A44="","",Jobs!$F44)</f>
        <v>Senior Strategic Financial Analyst</v>
      </c>
      <c r="D44" s="41" t="n">
        <f aca="false">IF(Jobs!$A44="","",Jobs!$P44)</f>
        <v>3</v>
      </c>
      <c r="E44" s="41" t="str">
        <f aca="false">IF(Jobs!$A44="","",Jobs!$S44)</f>
        <v>Identified</v>
      </c>
      <c r="F44" s="42" t="n">
        <f aca="false">IF(Jobs!$A44="","",Jobs!$T44)</f>
        <v>0</v>
      </c>
      <c r="G44" s="42" t="n">
        <f aca="false">IF(Jobs!$A44="","",Jobs!$U44)</f>
        <v>0</v>
      </c>
      <c r="H44" s="42" t="n">
        <f aca="false">IF(Jobs!$A44="","",Jobs!$V44)</f>
        <v>0</v>
      </c>
      <c r="I44" s="42" t="n">
        <f aca="false">IF(Jobs!$A44="","",Jobs!$X44)</f>
        <v>0</v>
      </c>
      <c r="J44" s="42" t="n">
        <f aca="false">IF(Jobs!$A44="","",Jobs!$Y44)</f>
        <v>0</v>
      </c>
      <c r="K44" s="42" t="n">
        <f aca="false">IF(Jobs!$A44="","",Jobs!$Z44)</f>
        <v>0</v>
      </c>
      <c r="L44" s="41" t="str">
        <f aca="false">IF(Jobs!$A44="","",IF(Jobs!$Z44&lt;&gt;"","Rejected",IF(Jobs!$Y44&lt;&gt;"","Offer",IF(Jobs!$X44&lt;&gt;"","Interview",IF(Jobs!$V44&lt;&gt;"","Responded",IF(Jobs!$U44&lt;&gt;"","Contacted",IF(Jobs!$T44&lt;&gt;"","Applied","Not applied yet")))))))</f>
        <v>Not applied yet</v>
      </c>
      <c r="M44" s="41" t="str">
        <f aca="false">IF(Jobs!$A44="","",Jobs!$AB44)</f>
        <v/>
      </c>
      <c r="N44" s="42" t="n">
        <f aca="false">IF(Jobs!$A44="","",Jobs!$AA44)</f>
        <v>0</v>
      </c>
    </row>
    <row r="45" customFormat="false" ht="15" hidden="false" customHeight="false" outlineLevel="0" collapsed="false">
      <c r="A45" s="41" t="str">
        <f aca="false">IF(Jobs!$A45="","",Jobs!$A45)</f>
        <v>2026-10-044</v>
      </c>
      <c r="B45" s="13" t="str">
        <f aca="false">IF(Jobs!$A45="","",Jobs!$E45)</f>
        <v>Merrimack Health</v>
      </c>
      <c r="C45" s="13" t="str">
        <f aca="false">IF(Jobs!$A45="","",Jobs!$F45)</f>
        <v>Senior Reimbursement Analyst</v>
      </c>
      <c r="D45" s="41" t="n">
        <f aca="false">IF(Jobs!$A45="","",Jobs!$P45)</f>
        <v>3</v>
      </c>
      <c r="E45" s="41" t="str">
        <f aca="false">IF(Jobs!$A45="","",Jobs!$S45)</f>
        <v>Identified</v>
      </c>
      <c r="F45" s="42" t="n">
        <f aca="false">IF(Jobs!$A45="","",Jobs!$T45)</f>
        <v>0</v>
      </c>
      <c r="G45" s="42" t="n">
        <f aca="false">IF(Jobs!$A45="","",Jobs!$U45)</f>
        <v>0</v>
      </c>
      <c r="H45" s="42" t="n">
        <f aca="false">IF(Jobs!$A45="","",Jobs!$V45)</f>
        <v>0</v>
      </c>
      <c r="I45" s="42" t="n">
        <f aca="false">IF(Jobs!$A45="","",Jobs!$X45)</f>
        <v>0</v>
      </c>
      <c r="J45" s="42" t="n">
        <f aca="false">IF(Jobs!$A45="","",Jobs!$Y45)</f>
        <v>0</v>
      </c>
      <c r="K45" s="42" t="n">
        <f aca="false">IF(Jobs!$A45="","",Jobs!$Z45)</f>
        <v>0</v>
      </c>
      <c r="L45" s="41" t="str">
        <f aca="false">IF(Jobs!$A45="","",IF(Jobs!$Z45&lt;&gt;"","Rejected",IF(Jobs!$Y45&lt;&gt;"","Offer",IF(Jobs!$X45&lt;&gt;"","Interview",IF(Jobs!$V45&lt;&gt;"","Responded",IF(Jobs!$U45&lt;&gt;"","Contacted",IF(Jobs!$T45&lt;&gt;"","Applied","Not applied yet")))))))</f>
        <v>Not applied yet</v>
      </c>
      <c r="M45" s="41" t="str">
        <f aca="false">IF(Jobs!$A45="","",Jobs!$AB45)</f>
        <v/>
      </c>
      <c r="N45" s="42" t="n">
        <f aca="false">IF(Jobs!$A45="","",Jobs!$AA45)</f>
        <v>0</v>
      </c>
    </row>
    <row r="46" customFormat="false" ht="15" hidden="false" customHeight="false" outlineLevel="0" collapsed="false">
      <c r="A46" s="41" t="str">
        <f aca="false">IF(Jobs!$A46="","",Jobs!$A46)</f>
        <v>2026-10-045</v>
      </c>
      <c r="B46" s="13" t="str">
        <f aca="false">IF(Jobs!$A46="","",Jobs!$E46)</f>
        <v>Signature Healthcare</v>
      </c>
      <c r="C46" s="13" t="str">
        <f aca="false">IF(Jobs!$A46="","",Jobs!$F46)</f>
        <v>Sr. Financial Analyst</v>
      </c>
      <c r="D46" s="41" t="n">
        <f aca="false">IF(Jobs!$A46="","",Jobs!$P46)</f>
        <v>3</v>
      </c>
      <c r="E46" s="41" t="str">
        <f aca="false">IF(Jobs!$A46="","",Jobs!$S46)</f>
        <v>Identified</v>
      </c>
      <c r="F46" s="42" t="n">
        <f aca="false">IF(Jobs!$A46="","",Jobs!$T46)</f>
        <v>0</v>
      </c>
      <c r="G46" s="42" t="n">
        <f aca="false">IF(Jobs!$A46="","",Jobs!$U46)</f>
        <v>0</v>
      </c>
      <c r="H46" s="42" t="n">
        <f aca="false">IF(Jobs!$A46="","",Jobs!$V46)</f>
        <v>0</v>
      </c>
      <c r="I46" s="42" t="n">
        <f aca="false">IF(Jobs!$A46="","",Jobs!$X46)</f>
        <v>0</v>
      </c>
      <c r="J46" s="42" t="n">
        <f aca="false">IF(Jobs!$A46="","",Jobs!$Y46)</f>
        <v>0</v>
      </c>
      <c r="K46" s="42" t="n">
        <f aca="false">IF(Jobs!$A46="","",Jobs!$Z46)</f>
        <v>0</v>
      </c>
      <c r="L46" s="41" t="str">
        <f aca="false">IF(Jobs!$A46="","",IF(Jobs!$Z46&lt;&gt;"","Rejected",IF(Jobs!$Y46&lt;&gt;"","Offer",IF(Jobs!$X46&lt;&gt;"","Interview",IF(Jobs!$V46&lt;&gt;"","Responded",IF(Jobs!$U46&lt;&gt;"","Contacted",IF(Jobs!$T46&lt;&gt;"","Applied","Not applied yet")))))))</f>
        <v>Not applied yet</v>
      </c>
      <c r="M46" s="41" t="str">
        <f aca="false">IF(Jobs!$A46="","",Jobs!$AB46)</f>
        <v/>
      </c>
      <c r="N46" s="42" t="n">
        <f aca="false">IF(Jobs!$A46="","",Jobs!$AA46)</f>
        <v>0</v>
      </c>
    </row>
    <row r="47" customFormat="false" ht="22.35" hidden="false" customHeight="false" outlineLevel="0" collapsed="false">
      <c r="A47" s="41" t="str">
        <f aca="false">IF(Jobs!$A47="","",Jobs!$A47)</f>
        <v>2026-10-046</v>
      </c>
      <c r="B47" s="13" t="str">
        <f aca="false">IF(Jobs!$A47="","",Jobs!$E47)</f>
        <v>Vertex Pharmaceuticals</v>
      </c>
      <c r="C47" s="13" t="str">
        <f aca="false">IF(Jobs!$A47="","",Jobs!$F47)</f>
        <v>Financial Planning &amp; Analysis Senior Analyst</v>
      </c>
      <c r="D47" s="41" t="n">
        <f aca="false">IF(Jobs!$A47="","",Jobs!$P47)</f>
        <v>3</v>
      </c>
      <c r="E47" s="41" t="str">
        <f aca="false">IF(Jobs!$A47="","",Jobs!$S47)</f>
        <v>Identified</v>
      </c>
      <c r="F47" s="42" t="n">
        <f aca="false">IF(Jobs!$A47="","",Jobs!$T47)</f>
        <v>0</v>
      </c>
      <c r="G47" s="42" t="n">
        <f aca="false">IF(Jobs!$A47="","",Jobs!$U47)</f>
        <v>0</v>
      </c>
      <c r="H47" s="42" t="n">
        <f aca="false">IF(Jobs!$A47="","",Jobs!$V47)</f>
        <v>0</v>
      </c>
      <c r="I47" s="42" t="n">
        <f aca="false">IF(Jobs!$A47="","",Jobs!$X47)</f>
        <v>0</v>
      </c>
      <c r="J47" s="42" t="n">
        <f aca="false">IF(Jobs!$A47="","",Jobs!$Y47)</f>
        <v>0</v>
      </c>
      <c r="K47" s="42" t="n">
        <f aca="false">IF(Jobs!$A47="","",Jobs!$Z47)</f>
        <v>0</v>
      </c>
      <c r="L47" s="41" t="str">
        <f aca="false">IF(Jobs!$A47="","",IF(Jobs!$Z47&lt;&gt;"","Rejected",IF(Jobs!$Y47&lt;&gt;"","Offer",IF(Jobs!$X47&lt;&gt;"","Interview",IF(Jobs!$V47&lt;&gt;"","Responded",IF(Jobs!$U47&lt;&gt;"","Contacted",IF(Jobs!$T47&lt;&gt;"","Applied","Not applied yet")))))))</f>
        <v>Not applied yet</v>
      </c>
      <c r="M47" s="41" t="str">
        <f aca="false">IF(Jobs!$A47="","",Jobs!$AB47)</f>
        <v/>
      </c>
      <c r="N47" s="42" t="n">
        <f aca="false">IF(Jobs!$A47="","",Jobs!$AA47)</f>
        <v>0</v>
      </c>
    </row>
    <row r="48" customFormat="false" ht="22.35" hidden="false" customHeight="false" outlineLevel="0" collapsed="false">
      <c r="A48" s="41" t="str">
        <f aca="false">IF(Jobs!$A48="","",Jobs!$A48)</f>
        <v>2026-10-047</v>
      </c>
      <c r="B48" s="13" t="str">
        <f aca="false">IF(Jobs!$A48="","",Jobs!$E48)</f>
        <v>Worcester Envelope Company</v>
      </c>
      <c r="C48" s="13" t="str">
        <f aca="false">IF(Jobs!$A48="","",Jobs!$F48)</f>
        <v>Staff Accountant – On Site</v>
      </c>
      <c r="D48" s="41" t="n">
        <f aca="false">IF(Jobs!$A48="","",Jobs!$P48)</f>
        <v>5</v>
      </c>
      <c r="E48" s="41" t="str">
        <f aca="false">IF(Jobs!$A48="","",Jobs!$S48)</f>
        <v>Identified</v>
      </c>
      <c r="F48" s="42" t="n">
        <f aca="false">IF(Jobs!$A48="","",Jobs!$T48)</f>
        <v>0</v>
      </c>
      <c r="G48" s="42" t="n">
        <f aca="false">IF(Jobs!$A48="","",Jobs!$U48)</f>
        <v>0</v>
      </c>
      <c r="H48" s="42" t="n">
        <f aca="false">IF(Jobs!$A48="","",Jobs!$V48)</f>
        <v>0</v>
      </c>
      <c r="I48" s="42" t="n">
        <f aca="false">IF(Jobs!$A48="","",Jobs!$X48)</f>
        <v>0</v>
      </c>
      <c r="J48" s="42" t="n">
        <f aca="false">IF(Jobs!$A48="","",Jobs!$Y48)</f>
        <v>0</v>
      </c>
      <c r="K48" s="42" t="n">
        <f aca="false">IF(Jobs!$A48="","",Jobs!$Z48)</f>
        <v>0</v>
      </c>
      <c r="L48" s="41" t="str">
        <f aca="false">IF(Jobs!$A48="","",IF(Jobs!$Z48&lt;&gt;"","Rejected",IF(Jobs!$Y48&lt;&gt;"","Offer",IF(Jobs!$X48&lt;&gt;"","Interview",IF(Jobs!$V48&lt;&gt;"","Responded",IF(Jobs!$U48&lt;&gt;"","Contacted",IF(Jobs!$T48&lt;&gt;"","Applied","Not applied yet")))))))</f>
        <v>Not applied yet</v>
      </c>
      <c r="M48" s="41" t="str">
        <f aca="false">IF(Jobs!$A48="","",Jobs!$AB48)</f>
        <v/>
      </c>
      <c r="N48" s="42" t="n">
        <f aca="false">IF(Jobs!$A48="","",Jobs!$AA48)</f>
        <v>0</v>
      </c>
    </row>
    <row r="49" customFormat="false" ht="15" hidden="false" customHeight="false" outlineLevel="0" collapsed="false">
      <c r="A49" s="41" t="str">
        <f aca="false">IF(Jobs!$A49="","",Jobs!$A49)</f>
        <v>2026-10-048</v>
      </c>
      <c r="B49" s="13" t="str">
        <f aca="false">IF(Jobs!$A49="","",Jobs!$E49)</f>
        <v>EPIC Enterprises, Inc.</v>
      </c>
      <c r="C49" s="13" t="str">
        <f aca="false">IF(Jobs!$A49="","",Jobs!$F49)</f>
        <v>Junior Accountant</v>
      </c>
      <c r="D49" s="41" t="n">
        <f aca="false">IF(Jobs!$A49="","",Jobs!$P49)</f>
        <v>3</v>
      </c>
      <c r="E49" s="41" t="str">
        <f aca="false">IF(Jobs!$A49="","",Jobs!$S49)</f>
        <v>Identified</v>
      </c>
      <c r="F49" s="42" t="n">
        <f aca="false">IF(Jobs!$A49="","",Jobs!$T49)</f>
        <v>0</v>
      </c>
      <c r="G49" s="42" t="n">
        <f aca="false">IF(Jobs!$A49="","",Jobs!$U49)</f>
        <v>0</v>
      </c>
      <c r="H49" s="42" t="n">
        <f aca="false">IF(Jobs!$A49="","",Jobs!$V49)</f>
        <v>0</v>
      </c>
      <c r="I49" s="42" t="n">
        <f aca="false">IF(Jobs!$A49="","",Jobs!$X49)</f>
        <v>0</v>
      </c>
      <c r="J49" s="42" t="n">
        <f aca="false">IF(Jobs!$A49="","",Jobs!$Y49)</f>
        <v>0</v>
      </c>
      <c r="K49" s="42" t="n">
        <f aca="false">IF(Jobs!$A49="","",Jobs!$Z49)</f>
        <v>0</v>
      </c>
      <c r="L49" s="41" t="str">
        <f aca="false">IF(Jobs!$A49="","",IF(Jobs!$Z49&lt;&gt;"","Rejected",IF(Jobs!$Y49&lt;&gt;"","Offer",IF(Jobs!$X49&lt;&gt;"","Interview",IF(Jobs!$V49&lt;&gt;"","Responded",IF(Jobs!$U49&lt;&gt;"","Contacted",IF(Jobs!$T49&lt;&gt;"","Applied","Not applied yet")))))))</f>
        <v>Not applied yet</v>
      </c>
      <c r="M49" s="41" t="str">
        <f aca="false">IF(Jobs!$A49="","",Jobs!$AB49)</f>
        <v/>
      </c>
      <c r="N49" s="42" t="n">
        <f aca="false">IF(Jobs!$A49="","",Jobs!$AA49)</f>
        <v>0</v>
      </c>
    </row>
    <row r="50" customFormat="false" ht="15" hidden="false" customHeight="false" outlineLevel="0" collapsed="false">
      <c r="A50" s="41" t="str">
        <f aca="false">IF(Jobs!$A50="","",Jobs!$A50)</f>
        <v>2026-10-049</v>
      </c>
      <c r="B50" s="13" t="str">
        <f aca="false">IF(Jobs!$A50="","",Jobs!$E50)</f>
        <v>Bernardi Auto Group</v>
      </c>
      <c r="C50" s="13" t="str">
        <f aca="false">IF(Jobs!$A50="","",Jobs!$F50)</f>
        <v>Automotive Accountant</v>
      </c>
      <c r="D50" s="41" t="n">
        <f aca="false">IF(Jobs!$A50="","",Jobs!$P50)</f>
        <v>3</v>
      </c>
      <c r="E50" s="41" t="str">
        <f aca="false">IF(Jobs!$A50="","",Jobs!$S50)</f>
        <v>Identified</v>
      </c>
      <c r="F50" s="42" t="n">
        <f aca="false">IF(Jobs!$A50="","",Jobs!$T50)</f>
        <v>0</v>
      </c>
      <c r="G50" s="42" t="n">
        <f aca="false">IF(Jobs!$A50="","",Jobs!$U50)</f>
        <v>0</v>
      </c>
      <c r="H50" s="42" t="n">
        <f aca="false">IF(Jobs!$A50="","",Jobs!$V50)</f>
        <v>0</v>
      </c>
      <c r="I50" s="42" t="n">
        <f aca="false">IF(Jobs!$A50="","",Jobs!$X50)</f>
        <v>0</v>
      </c>
      <c r="J50" s="42" t="n">
        <f aca="false">IF(Jobs!$A50="","",Jobs!$Y50)</f>
        <v>0</v>
      </c>
      <c r="K50" s="42" t="n">
        <f aca="false">IF(Jobs!$A50="","",Jobs!$Z50)</f>
        <v>0</v>
      </c>
      <c r="L50" s="41" t="str">
        <f aca="false">IF(Jobs!$A50="","",IF(Jobs!$Z50&lt;&gt;"","Rejected",IF(Jobs!$Y50&lt;&gt;"","Offer",IF(Jobs!$X50&lt;&gt;"","Interview",IF(Jobs!$V50&lt;&gt;"","Responded",IF(Jobs!$U50&lt;&gt;"","Contacted",IF(Jobs!$T50&lt;&gt;"","Applied","Not applied yet")))))))</f>
        <v>Not applied yet</v>
      </c>
      <c r="M50" s="41" t="str">
        <f aca="false">IF(Jobs!$A50="","",Jobs!$AB50)</f>
        <v/>
      </c>
      <c r="N50" s="42" t="n">
        <f aca="false">IF(Jobs!$A50="","",Jobs!$AA50)</f>
        <v>0</v>
      </c>
    </row>
    <row r="51" customFormat="false" ht="15" hidden="false" customHeight="false" outlineLevel="0" collapsed="false">
      <c r="A51" s="41" t="str">
        <f aca="false">IF(Jobs!$A51="","",Jobs!$A51)</f>
        <v>2026-10-050</v>
      </c>
      <c r="B51" s="13" t="str">
        <f aca="false">IF(Jobs!$A51="","",Jobs!$E51)</f>
        <v>Greenwood Industries</v>
      </c>
      <c r="C51" s="13" t="str">
        <f aca="false">IF(Jobs!$A51="","",Jobs!$F51)</f>
        <v>Accounting Specialist</v>
      </c>
      <c r="D51" s="41" t="n">
        <f aca="false">IF(Jobs!$A51="","",Jobs!$P51)</f>
        <v>3</v>
      </c>
      <c r="E51" s="41" t="str">
        <f aca="false">IF(Jobs!$A51="","",Jobs!$S51)</f>
        <v>Identified</v>
      </c>
      <c r="F51" s="42" t="n">
        <f aca="false">IF(Jobs!$A51="","",Jobs!$T51)</f>
        <v>0</v>
      </c>
      <c r="G51" s="42" t="n">
        <f aca="false">IF(Jobs!$A51="","",Jobs!$U51)</f>
        <v>0</v>
      </c>
      <c r="H51" s="42" t="n">
        <f aca="false">IF(Jobs!$A51="","",Jobs!$V51)</f>
        <v>0</v>
      </c>
      <c r="I51" s="42" t="n">
        <f aca="false">IF(Jobs!$A51="","",Jobs!$X51)</f>
        <v>0</v>
      </c>
      <c r="J51" s="42" t="n">
        <f aca="false">IF(Jobs!$A51="","",Jobs!$Y51)</f>
        <v>0</v>
      </c>
      <c r="K51" s="42" t="n">
        <f aca="false">IF(Jobs!$A51="","",Jobs!$Z51)</f>
        <v>0</v>
      </c>
      <c r="L51" s="41" t="str">
        <f aca="false">IF(Jobs!$A51="","",IF(Jobs!$Z51&lt;&gt;"","Rejected",IF(Jobs!$Y51&lt;&gt;"","Offer",IF(Jobs!$X51&lt;&gt;"","Interview",IF(Jobs!$V51&lt;&gt;"","Responded",IF(Jobs!$U51&lt;&gt;"","Contacted",IF(Jobs!$T51&lt;&gt;"","Applied","Not applied yet")))))))</f>
        <v>Not applied yet</v>
      </c>
      <c r="M51" s="41" t="str">
        <f aca="false">IF(Jobs!$A51="","",Jobs!$AB51)</f>
        <v/>
      </c>
      <c r="N51" s="42" t="n">
        <f aca="false">IF(Jobs!$A51="","",Jobs!$AA51)</f>
        <v>0</v>
      </c>
    </row>
    <row r="52" customFormat="false" ht="15" hidden="false" customHeight="false" outlineLevel="0" collapsed="false">
      <c r="A52" s="41" t="str">
        <f aca="false">IF(Jobs!$A52="","",Jobs!$A52)</f>
        <v/>
      </c>
      <c r="B52" s="13" t="str">
        <f aca="false">IF(Jobs!$A52="","",Jobs!$E52)</f>
        <v/>
      </c>
      <c r="C52" s="13" t="str">
        <f aca="false">IF(Jobs!$A52="","",Jobs!$F52)</f>
        <v/>
      </c>
      <c r="D52" s="41" t="str">
        <f aca="false">IF(Jobs!$A52="","",Jobs!$P52)</f>
        <v/>
      </c>
      <c r="E52" s="41" t="str">
        <f aca="false">IF(Jobs!$A52="","",Jobs!$S52)</f>
        <v/>
      </c>
      <c r="F52" s="42" t="str">
        <f aca="false">IF(Jobs!$A52="","",Jobs!$T52)</f>
        <v/>
      </c>
      <c r="G52" s="42" t="str">
        <f aca="false">IF(Jobs!$A52="","",Jobs!$U52)</f>
        <v/>
      </c>
      <c r="H52" s="42" t="str">
        <f aca="false">IF(Jobs!$A52="","",Jobs!$V52)</f>
        <v/>
      </c>
      <c r="I52" s="42" t="str">
        <f aca="false">IF(Jobs!$A52="","",Jobs!$X52)</f>
        <v/>
      </c>
      <c r="J52" s="42" t="str">
        <f aca="false">IF(Jobs!$A52="","",Jobs!$Y52)</f>
        <v/>
      </c>
      <c r="K52" s="42" t="str">
        <f aca="false">IF(Jobs!$A52="","",Jobs!$Z52)</f>
        <v/>
      </c>
      <c r="L52" s="41" t="str">
        <f aca="false">IF(Jobs!$A52="","",IF(Jobs!$Z52&lt;&gt;"","Rejected",IF(Jobs!$Y52&lt;&gt;"","Offer",IF(Jobs!$X52&lt;&gt;"","Interview",IF(Jobs!$V52&lt;&gt;"","Responded",IF(Jobs!$U52&lt;&gt;"","Contacted",IF(Jobs!$T52&lt;&gt;"","Applied","Not applied yet")))))))</f>
        <v/>
      </c>
      <c r="M52" s="41" t="str">
        <f aca="false">IF(Jobs!$A52="","",Jobs!$AB52)</f>
        <v/>
      </c>
      <c r="N52" s="42" t="str">
        <f aca="false">IF(Jobs!$A52="","",Jobs!$AA52)</f>
        <v/>
      </c>
    </row>
    <row r="53" customFormat="false" ht="15" hidden="false" customHeight="false" outlineLevel="0" collapsed="false">
      <c r="A53" s="41" t="str">
        <f aca="false">IF(Jobs!$A53="","",Jobs!$A53)</f>
        <v/>
      </c>
      <c r="B53" s="13" t="str">
        <f aca="false">IF(Jobs!$A53="","",Jobs!$E53)</f>
        <v/>
      </c>
      <c r="C53" s="13" t="str">
        <f aca="false">IF(Jobs!$A53="","",Jobs!$F53)</f>
        <v/>
      </c>
      <c r="D53" s="41" t="str">
        <f aca="false">IF(Jobs!$A53="","",Jobs!$P53)</f>
        <v/>
      </c>
      <c r="E53" s="41" t="str">
        <f aca="false">IF(Jobs!$A53="","",Jobs!$S53)</f>
        <v/>
      </c>
      <c r="F53" s="42" t="str">
        <f aca="false">IF(Jobs!$A53="","",Jobs!$T53)</f>
        <v/>
      </c>
      <c r="G53" s="42" t="str">
        <f aca="false">IF(Jobs!$A53="","",Jobs!$U53)</f>
        <v/>
      </c>
      <c r="H53" s="42" t="str">
        <f aca="false">IF(Jobs!$A53="","",Jobs!$V53)</f>
        <v/>
      </c>
      <c r="I53" s="42" t="str">
        <f aca="false">IF(Jobs!$A53="","",Jobs!$X53)</f>
        <v/>
      </c>
      <c r="J53" s="42" t="str">
        <f aca="false">IF(Jobs!$A53="","",Jobs!$Y53)</f>
        <v/>
      </c>
      <c r="K53" s="42" t="str">
        <f aca="false">IF(Jobs!$A53="","",Jobs!$Z53)</f>
        <v/>
      </c>
      <c r="L53" s="41" t="str">
        <f aca="false">IF(Jobs!$A53="","",IF(Jobs!$Z53&lt;&gt;"","Rejected",IF(Jobs!$Y53&lt;&gt;"","Offer",IF(Jobs!$X53&lt;&gt;"","Interview",IF(Jobs!$V53&lt;&gt;"","Responded",IF(Jobs!$U53&lt;&gt;"","Contacted",IF(Jobs!$T53&lt;&gt;"","Applied","Not applied yet")))))))</f>
        <v/>
      </c>
      <c r="M53" s="41" t="str">
        <f aca="false">IF(Jobs!$A53="","",Jobs!$AB53)</f>
        <v/>
      </c>
      <c r="N53" s="42" t="str">
        <f aca="false">IF(Jobs!$A53="","",Jobs!$AA53)</f>
        <v/>
      </c>
    </row>
    <row r="54" customFormat="false" ht="15" hidden="false" customHeight="false" outlineLevel="0" collapsed="false">
      <c r="A54" s="41" t="str">
        <f aca="false">IF(Jobs!$A54="","",Jobs!$A54)</f>
        <v/>
      </c>
      <c r="B54" s="13" t="str">
        <f aca="false">IF(Jobs!$A54="","",Jobs!$E54)</f>
        <v/>
      </c>
      <c r="C54" s="13" t="str">
        <f aca="false">IF(Jobs!$A54="","",Jobs!$F54)</f>
        <v/>
      </c>
      <c r="D54" s="41" t="str">
        <f aca="false">IF(Jobs!$A54="","",Jobs!$P54)</f>
        <v/>
      </c>
      <c r="E54" s="41" t="str">
        <f aca="false">IF(Jobs!$A54="","",Jobs!$S54)</f>
        <v/>
      </c>
      <c r="F54" s="42" t="str">
        <f aca="false">IF(Jobs!$A54="","",Jobs!$T54)</f>
        <v/>
      </c>
      <c r="G54" s="42" t="str">
        <f aca="false">IF(Jobs!$A54="","",Jobs!$U54)</f>
        <v/>
      </c>
      <c r="H54" s="42" t="str">
        <f aca="false">IF(Jobs!$A54="","",Jobs!$V54)</f>
        <v/>
      </c>
      <c r="I54" s="42" t="str">
        <f aca="false">IF(Jobs!$A54="","",Jobs!$X54)</f>
        <v/>
      </c>
      <c r="J54" s="42" t="str">
        <f aca="false">IF(Jobs!$A54="","",Jobs!$Y54)</f>
        <v/>
      </c>
      <c r="K54" s="42" t="str">
        <f aca="false">IF(Jobs!$A54="","",Jobs!$Z54)</f>
        <v/>
      </c>
      <c r="L54" s="41" t="str">
        <f aca="false">IF(Jobs!$A54="","",IF(Jobs!$Z54&lt;&gt;"","Rejected",IF(Jobs!$Y54&lt;&gt;"","Offer",IF(Jobs!$X54&lt;&gt;"","Interview",IF(Jobs!$V54&lt;&gt;"","Responded",IF(Jobs!$U54&lt;&gt;"","Contacted",IF(Jobs!$T54&lt;&gt;"","Applied","Not applied yet")))))))</f>
        <v/>
      </c>
      <c r="M54" s="41" t="str">
        <f aca="false">IF(Jobs!$A54="","",Jobs!$AB54)</f>
        <v/>
      </c>
      <c r="N54" s="42" t="str">
        <f aca="false">IF(Jobs!$A54="","",Jobs!$AA54)</f>
        <v/>
      </c>
    </row>
    <row r="55" customFormat="false" ht="15" hidden="false" customHeight="false" outlineLevel="0" collapsed="false">
      <c r="A55" s="41" t="str">
        <f aca="false">IF(Jobs!$A55="","",Jobs!$A55)</f>
        <v/>
      </c>
      <c r="B55" s="13" t="str">
        <f aca="false">IF(Jobs!$A55="","",Jobs!$E55)</f>
        <v/>
      </c>
      <c r="C55" s="13" t="str">
        <f aca="false">IF(Jobs!$A55="","",Jobs!$F55)</f>
        <v/>
      </c>
      <c r="D55" s="41" t="str">
        <f aca="false">IF(Jobs!$A55="","",Jobs!$P55)</f>
        <v/>
      </c>
      <c r="E55" s="41" t="str">
        <f aca="false">IF(Jobs!$A55="","",Jobs!$S55)</f>
        <v/>
      </c>
      <c r="F55" s="42" t="str">
        <f aca="false">IF(Jobs!$A55="","",Jobs!$T55)</f>
        <v/>
      </c>
      <c r="G55" s="42" t="str">
        <f aca="false">IF(Jobs!$A55="","",Jobs!$U55)</f>
        <v/>
      </c>
      <c r="H55" s="42" t="str">
        <f aca="false">IF(Jobs!$A55="","",Jobs!$V55)</f>
        <v/>
      </c>
      <c r="I55" s="42" t="str">
        <f aca="false">IF(Jobs!$A55="","",Jobs!$X55)</f>
        <v/>
      </c>
      <c r="J55" s="42" t="str">
        <f aca="false">IF(Jobs!$A55="","",Jobs!$Y55)</f>
        <v/>
      </c>
      <c r="K55" s="42" t="str">
        <f aca="false">IF(Jobs!$A55="","",Jobs!$Z55)</f>
        <v/>
      </c>
      <c r="L55" s="41" t="str">
        <f aca="false">IF(Jobs!$A55="","",IF(Jobs!$Z55&lt;&gt;"","Rejected",IF(Jobs!$Y55&lt;&gt;"","Offer",IF(Jobs!$X55&lt;&gt;"","Interview",IF(Jobs!$V55&lt;&gt;"","Responded",IF(Jobs!$U55&lt;&gt;"","Contacted",IF(Jobs!$T55&lt;&gt;"","Applied","Not applied yet")))))))</f>
        <v/>
      </c>
      <c r="M55" s="41" t="str">
        <f aca="false">IF(Jobs!$A55="","",Jobs!$AB55)</f>
        <v/>
      </c>
      <c r="N55" s="42" t="str">
        <f aca="false">IF(Jobs!$A55="","",Jobs!$AA55)</f>
        <v/>
      </c>
    </row>
    <row r="56" customFormat="false" ht="15" hidden="false" customHeight="false" outlineLevel="0" collapsed="false">
      <c r="A56" s="41" t="str">
        <f aca="false">IF(Jobs!$A56="","",Jobs!$A56)</f>
        <v/>
      </c>
      <c r="B56" s="13" t="str">
        <f aca="false">IF(Jobs!$A56="","",Jobs!$E56)</f>
        <v/>
      </c>
      <c r="C56" s="13" t="str">
        <f aca="false">IF(Jobs!$A56="","",Jobs!$F56)</f>
        <v/>
      </c>
      <c r="D56" s="41" t="str">
        <f aca="false">IF(Jobs!$A56="","",Jobs!$P56)</f>
        <v/>
      </c>
      <c r="E56" s="41" t="str">
        <f aca="false">IF(Jobs!$A56="","",Jobs!$S56)</f>
        <v/>
      </c>
      <c r="F56" s="42" t="str">
        <f aca="false">IF(Jobs!$A56="","",Jobs!$T56)</f>
        <v/>
      </c>
      <c r="G56" s="42" t="str">
        <f aca="false">IF(Jobs!$A56="","",Jobs!$U56)</f>
        <v/>
      </c>
      <c r="H56" s="42" t="str">
        <f aca="false">IF(Jobs!$A56="","",Jobs!$V56)</f>
        <v/>
      </c>
      <c r="I56" s="42" t="str">
        <f aca="false">IF(Jobs!$A56="","",Jobs!$X56)</f>
        <v/>
      </c>
      <c r="J56" s="42" t="str">
        <f aca="false">IF(Jobs!$A56="","",Jobs!$Y56)</f>
        <v/>
      </c>
      <c r="K56" s="42" t="str">
        <f aca="false">IF(Jobs!$A56="","",Jobs!$Z56)</f>
        <v/>
      </c>
      <c r="L56" s="41" t="str">
        <f aca="false">IF(Jobs!$A56="","",IF(Jobs!$Z56&lt;&gt;"","Rejected",IF(Jobs!$Y56&lt;&gt;"","Offer",IF(Jobs!$X56&lt;&gt;"","Interview",IF(Jobs!$V56&lt;&gt;"","Responded",IF(Jobs!$U56&lt;&gt;"","Contacted",IF(Jobs!$T56&lt;&gt;"","Applied","Not applied yet")))))))</f>
        <v/>
      </c>
      <c r="M56" s="41" t="str">
        <f aca="false">IF(Jobs!$A56="","",Jobs!$AB56)</f>
        <v/>
      </c>
      <c r="N56" s="42" t="str">
        <f aca="false">IF(Jobs!$A56="","",Jobs!$AA56)</f>
        <v/>
      </c>
    </row>
    <row r="57" customFormat="false" ht="15" hidden="false" customHeight="false" outlineLevel="0" collapsed="false">
      <c r="A57" s="41" t="str">
        <f aca="false">IF(Jobs!$A57="","",Jobs!$A57)</f>
        <v/>
      </c>
      <c r="B57" s="13" t="str">
        <f aca="false">IF(Jobs!$A57="","",Jobs!$E57)</f>
        <v/>
      </c>
      <c r="C57" s="13" t="str">
        <f aca="false">IF(Jobs!$A57="","",Jobs!$F57)</f>
        <v/>
      </c>
      <c r="D57" s="41" t="str">
        <f aca="false">IF(Jobs!$A57="","",Jobs!$P57)</f>
        <v/>
      </c>
      <c r="E57" s="41" t="str">
        <f aca="false">IF(Jobs!$A57="","",Jobs!$S57)</f>
        <v/>
      </c>
      <c r="F57" s="42" t="str">
        <f aca="false">IF(Jobs!$A57="","",Jobs!$T57)</f>
        <v/>
      </c>
      <c r="G57" s="42" t="str">
        <f aca="false">IF(Jobs!$A57="","",Jobs!$U57)</f>
        <v/>
      </c>
      <c r="H57" s="42" t="str">
        <f aca="false">IF(Jobs!$A57="","",Jobs!$V57)</f>
        <v/>
      </c>
      <c r="I57" s="42" t="str">
        <f aca="false">IF(Jobs!$A57="","",Jobs!$X57)</f>
        <v/>
      </c>
      <c r="J57" s="42" t="str">
        <f aca="false">IF(Jobs!$A57="","",Jobs!$Y57)</f>
        <v/>
      </c>
      <c r="K57" s="42" t="str">
        <f aca="false">IF(Jobs!$A57="","",Jobs!$Z57)</f>
        <v/>
      </c>
      <c r="L57" s="41" t="str">
        <f aca="false">IF(Jobs!$A57="","",IF(Jobs!$Z57&lt;&gt;"","Rejected",IF(Jobs!$Y57&lt;&gt;"","Offer",IF(Jobs!$X57&lt;&gt;"","Interview",IF(Jobs!$V57&lt;&gt;"","Responded",IF(Jobs!$U57&lt;&gt;"","Contacted",IF(Jobs!$T57&lt;&gt;"","Applied","Not applied yet")))))))</f>
        <v/>
      </c>
      <c r="M57" s="41" t="str">
        <f aca="false">IF(Jobs!$A57="","",Jobs!$AB57)</f>
        <v/>
      </c>
      <c r="N57" s="42" t="str">
        <f aca="false">IF(Jobs!$A57="","",Jobs!$AA57)</f>
        <v/>
      </c>
    </row>
    <row r="58" customFormat="false" ht="15" hidden="false" customHeight="false" outlineLevel="0" collapsed="false">
      <c r="A58" s="41" t="str">
        <f aca="false">IF(Jobs!$A58="","",Jobs!$A58)</f>
        <v/>
      </c>
      <c r="B58" s="13" t="str">
        <f aca="false">IF(Jobs!$A58="","",Jobs!$E58)</f>
        <v/>
      </c>
      <c r="C58" s="13" t="str">
        <f aca="false">IF(Jobs!$A58="","",Jobs!$F58)</f>
        <v/>
      </c>
      <c r="D58" s="41" t="str">
        <f aca="false">IF(Jobs!$A58="","",Jobs!$P58)</f>
        <v/>
      </c>
      <c r="E58" s="41" t="str">
        <f aca="false">IF(Jobs!$A58="","",Jobs!$S58)</f>
        <v/>
      </c>
      <c r="F58" s="42" t="str">
        <f aca="false">IF(Jobs!$A58="","",Jobs!$T58)</f>
        <v/>
      </c>
      <c r="G58" s="42" t="str">
        <f aca="false">IF(Jobs!$A58="","",Jobs!$U58)</f>
        <v/>
      </c>
      <c r="H58" s="42" t="str">
        <f aca="false">IF(Jobs!$A58="","",Jobs!$V58)</f>
        <v/>
      </c>
      <c r="I58" s="42" t="str">
        <f aca="false">IF(Jobs!$A58="","",Jobs!$X58)</f>
        <v/>
      </c>
      <c r="J58" s="42" t="str">
        <f aca="false">IF(Jobs!$A58="","",Jobs!$Y58)</f>
        <v/>
      </c>
      <c r="K58" s="42" t="str">
        <f aca="false">IF(Jobs!$A58="","",Jobs!$Z58)</f>
        <v/>
      </c>
      <c r="L58" s="41" t="str">
        <f aca="false">IF(Jobs!$A58="","",IF(Jobs!$Z58&lt;&gt;"","Rejected",IF(Jobs!$Y58&lt;&gt;"","Offer",IF(Jobs!$X58&lt;&gt;"","Interview",IF(Jobs!$V58&lt;&gt;"","Responded",IF(Jobs!$U58&lt;&gt;"","Contacted",IF(Jobs!$T58&lt;&gt;"","Applied","Not applied yet")))))))</f>
        <v/>
      </c>
      <c r="M58" s="41" t="str">
        <f aca="false">IF(Jobs!$A58="","",Jobs!$AB58)</f>
        <v/>
      </c>
      <c r="N58" s="42" t="str">
        <f aca="false">IF(Jobs!$A58="","",Jobs!$AA58)</f>
        <v/>
      </c>
    </row>
    <row r="59" customFormat="false" ht="15" hidden="false" customHeight="false" outlineLevel="0" collapsed="false">
      <c r="A59" s="41" t="str">
        <f aca="false">IF(Jobs!$A59="","",Jobs!$A59)</f>
        <v/>
      </c>
      <c r="B59" s="13" t="str">
        <f aca="false">IF(Jobs!$A59="","",Jobs!$E59)</f>
        <v/>
      </c>
      <c r="C59" s="13" t="str">
        <f aca="false">IF(Jobs!$A59="","",Jobs!$F59)</f>
        <v/>
      </c>
      <c r="D59" s="41" t="str">
        <f aca="false">IF(Jobs!$A59="","",Jobs!$P59)</f>
        <v/>
      </c>
      <c r="E59" s="41" t="str">
        <f aca="false">IF(Jobs!$A59="","",Jobs!$S59)</f>
        <v/>
      </c>
      <c r="F59" s="42" t="str">
        <f aca="false">IF(Jobs!$A59="","",Jobs!$T59)</f>
        <v/>
      </c>
      <c r="G59" s="42" t="str">
        <f aca="false">IF(Jobs!$A59="","",Jobs!$U59)</f>
        <v/>
      </c>
      <c r="H59" s="42" t="str">
        <f aca="false">IF(Jobs!$A59="","",Jobs!$V59)</f>
        <v/>
      </c>
      <c r="I59" s="42" t="str">
        <f aca="false">IF(Jobs!$A59="","",Jobs!$X59)</f>
        <v/>
      </c>
      <c r="J59" s="42" t="str">
        <f aca="false">IF(Jobs!$A59="","",Jobs!$Y59)</f>
        <v/>
      </c>
      <c r="K59" s="42" t="str">
        <f aca="false">IF(Jobs!$A59="","",Jobs!$Z59)</f>
        <v/>
      </c>
      <c r="L59" s="41" t="str">
        <f aca="false">IF(Jobs!$A59="","",IF(Jobs!$Z59&lt;&gt;"","Rejected",IF(Jobs!$Y59&lt;&gt;"","Offer",IF(Jobs!$X59&lt;&gt;"","Interview",IF(Jobs!$V59&lt;&gt;"","Responded",IF(Jobs!$U59&lt;&gt;"","Contacted",IF(Jobs!$T59&lt;&gt;"","Applied","Not applied yet")))))))</f>
        <v/>
      </c>
      <c r="M59" s="41" t="str">
        <f aca="false">IF(Jobs!$A59="","",Jobs!$AB59)</f>
        <v/>
      </c>
      <c r="N59" s="42" t="str">
        <f aca="false">IF(Jobs!$A59="","",Jobs!$AA59)</f>
        <v/>
      </c>
    </row>
    <row r="60" customFormat="false" ht="15" hidden="false" customHeight="false" outlineLevel="0" collapsed="false">
      <c r="A60" s="41" t="str">
        <f aca="false">IF(Jobs!$A60="","",Jobs!$A60)</f>
        <v/>
      </c>
      <c r="B60" s="13" t="str">
        <f aca="false">IF(Jobs!$A60="","",Jobs!$E60)</f>
        <v/>
      </c>
      <c r="C60" s="13" t="str">
        <f aca="false">IF(Jobs!$A60="","",Jobs!$F60)</f>
        <v/>
      </c>
      <c r="D60" s="41" t="str">
        <f aca="false">IF(Jobs!$A60="","",Jobs!$P60)</f>
        <v/>
      </c>
      <c r="E60" s="41" t="str">
        <f aca="false">IF(Jobs!$A60="","",Jobs!$S60)</f>
        <v/>
      </c>
      <c r="F60" s="42" t="str">
        <f aca="false">IF(Jobs!$A60="","",Jobs!$T60)</f>
        <v/>
      </c>
      <c r="G60" s="42" t="str">
        <f aca="false">IF(Jobs!$A60="","",Jobs!$U60)</f>
        <v/>
      </c>
      <c r="H60" s="42" t="str">
        <f aca="false">IF(Jobs!$A60="","",Jobs!$V60)</f>
        <v/>
      </c>
      <c r="I60" s="42" t="str">
        <f aca="false">IF(Jobs!$A60="","",Jobs!$X60)</f>
        <v/>
      </c>
      <c r="J60" s="42" t="str">
        <f aca="false">IF(Jobs!$A60="","",Jobs!$Y60)</f>
        <v/>
      </c>
      <c r="K60" s="42" t="str">
        <f aca="false">IF(Jobs!$A60="","",Jobs!$Z60)</f>
        <v/>
      </c>
      <c r="L60" s="41" t="str">
        <f aca="false">IF(Jobs!$A60="","",IF(Jobs!$Z60&lt;&gt;"","Rejected",IF(Jobs!$Y60&lt;&gt;"","Offer",IF(Jobs!$X60&lt;&gt;"","Interview",IF(Jobs!$V60&lt;&gt;"","Responded",IF(Jobs!$U60&lt;&gt;"","Contacted",IF(Jobs!$T60&lt;&gt;"","Applied","Not applied yet")))))))</f>
        <v/>
      </c>
      <c r="M60" s="41" t="str">
        <f aca="false">IF(Jobs!$A60="","",Jobs!$AB60)</f>
        <v/>
      </c>
      <c r="N60" s="42" t="str">
        <f aca="false">IF(Jobs!$A60="","",Jobs!$AA60)</f>
        <v/>
      </c>
    </row>
    <row r="61" customFormat="false" ht="15" hidden="false" customHeight="false" outlineLevel="0" collapsed="false">
      <c r="A61" s="41" t="str">
        <f aca="false">IF(Jobs!$A61="","",Jobs!$A61)</f>
        <v/>
      </c>
      <c r="B61" s="13" t="str">
        <f aca="false">IF(Jobs!$A61="","",Jobs!$E61)</f>
        <v/>
      </c>
      <c r="C61" s="13" t="str">
        <f aca="false">IF(Jobs!$A61="","",Jobs!$F61)</f>
        <v/>
      </c>
      <c r="D61" s="41" t="str">
        <f aca="false">IF(Jobs!$A61="","",Jobs!$P61)</f>
        <v/>
      </c>
      <c r="E61" s="41" t="str">
        <f aca="false">IF(Jobs!$A61="","",Jobs!$S61)</f>
        <v/>
      </c>
      <c r="F61" s="42" t="str">
        <f aca="false">IF(Jobs!$A61="","",Jobs!$T61)</f>
        <v/>
      </c>
      <c r="G61" s="42" t="str">
        <f aca="false">IF(Jobs!$A61="","",Jobs!$U61)</f>
        <v/>
      </c>
      <c r="H61" s="42" t="str">
        <f aca="false">IF(Jobs!$A61="","",Jobs!$V61)</f>
        <v/>
      </c>
      <c r="I61" s="42" t="str">
        <f aca="false">IF(Jobs!$A61="","",Jobs!$X61)</f>
        <v/>
      </c>
      <c r="J61" s="42" t="str">
        <f aca="false">IF(Jobs!$A61="","",Jobs!$Y61)</f>
        <v/>
      </c>
      <c r="K61" s="42" t="str">
        <f aca="false">IF(Jobs!$A61="","",Jobs!$Z61)</f>
        <v/>
      </c>
      <c r="L61" s="41" t="str">
        <f aca="false">IF(Jobs!$A61="","",IF(Jobs!$Z61&lt;&gt;"","Rejected",IF(Jobs!$Y61&lt;&gt;"","Offer",IF(Jobs!$X61&lt;&gt;"","Interview",IF(Jobs!$V61&lt;&gt;"","Responded",IF(Jobs!$U61&lt;&gt;"","Contacted",IF(Jobs!$T61&lt;&gt;"","Applied","Not applied yet")))))))</f>
        <v/>
      </c>
      <c r="M61" s="41" t="str">
        <f aca="false">IF(Jobs!$A61="","",Jobs!$AB61)</f>
        <v/>
      </c>
      <c r="N61" s="42" t="str">
        <f aca="false">IF(Jobs!$A61="","",Jobs!$AA61)</f>
        <v/>
      </c>
    </row>
    <row r="62" customFormat="false" ht="15" hidden="false" customHeight="false" outlineLevel="0" collapsed="false">
      <c r="A62" s="41" t="str">
        <f aca="false">IF(Jobs!$A62="","",Jobs!$A62)</f>
        <v/>
      </c>
      <c r="B62" s="13" t="str">
        <f aca="false">IF(Jobs!$A62="","",Jobs!$E62)</f>
        <v/>
      </c>
      <c r="C62" s="13" t="str">
        <f aca="false">IF(Jobs!$A62="","",Jobs!$F62)</f>
        <v/>
      </c>
      <c r="D62" s="41" t="str">
        <f aca="false">IF(Jobs!$A62="","",Jobs!$P62)</f>
        <v/>
      </c>
      <c r="E62" s="41" t="str">
        <f aca="false">IF(Jobs!$A62="","",Jobs!$S62)</f>
        <v/>
      </c>
      <c r="F62" s="42" t="str">
        <f aca="false">IF(Jobs!$A62="","",Jobs!$T62)</f>
        <v/>
      </c>
      <c r="G62" s="42" t="str">
        <f aca="false">IF(Jobs!$A62="","",Jobs!$U62)</f>
        <v/>
      </c>
      <c r="H62" s="42" t="str">
        <f aca="false">IF(Jobs!$A62="","",Jobs!$V62)</f>
        <v/>
      </c>
      <c r="I62" s="42" t="str">
        <f aca="false">IF(Jobs!$A62="","",Jobs!$X62)</f>
        <v/>
      </c>
      <c r="J62" s="42" t="str">
        <f aca="false">IF(Jobs!$A62="","",Jobs!$Y62)</f>
        <v/>
      </c>
      <c r="K62" s="42" t="str">
        <f aca="false">IF(Jobs!$A62="","",Jobs!$Z62)</f>
        <v/>
      </c>
      <c r="L62" s="41" t="str">
        <f aca="false">IF(Jobs!$A62="","",IF(Jobs!$Z62&lt;&gt;"","Rejected",IF(Jobs!$Y62&lt;&gt;"","Offer",IF(Jobs!$X62&lt;&gt;"","Interview",IF(Jobs!$V62&lt;&gt;"","Responded",IF(Jobs!$U62&lt;&gt;"","Contacted",IF(Jobs!$T62&lt;&gt;"","Applied","Not applied yet")))))))</f>
        <v/>
      </c>
      <c r="M62" s="41" t="str">
        <f aca="false">IF(Jobs!$A62="","",Jobs!$AB62)</f>
        <v/>
      </c>
      <c r="N62" s="42" t="str">
        <f aca="false">IF(Jobs!$A62="","",Jobs!$AA62)</f>
        <v/>
      </c>
    </row>
    <row r="63" customFormat="false" ht="15" hidden="false" customHeight="false" outlineLevel="0" collapsed="false">
      <c r="A63" s="41" t="str">
        <f aca="false">IF(Jobs!$A63="","",Jobs!$A63)</f>
        <v/>
      </c>
      <c r="B63" s="13" t="str">
        <f aca="false">IF(Jobs!$A63="","",Jobs!$E63)</f>
        <v/>
      </c>
      <c r="C63" s="13" t="str">
        <f aca="false">IF(Jobs!$A63="","",Jobs!$F63)</f>
        <v/>
      </c>
      <c r="D63" s="41" t="str">
        <f aca="false">IF(Jobs!$A63="","",Jobs!$P63)</f>
        <v/>
      </c>
      <c r="E63" s="41" t="str">
        <f aca="false">IF(Jobs!$A63="","",Jobs!$S63)</f>
        <v/>
      </c>
      <c r="F63" s="42" t="str">
        <f aca="false">IF(Jobs!$A63="","",Jobs!$T63)</f>
        <v/>
      </c>
      <c r="G63" s="42" t="str">
        <f aca="false">IF(Jobs!$A63="","",Jobs!$U63)</f>
        <v/>
      </c>
      <c r="H63" s="42" t="str">
        <f aca="false">IF(Jobs!$A63="","",Jobs!$V63)</f>
        <v/>
      </c>
      <c r="I63" s="42" t="str">
        <f aca="false">IF(Jobs!$A63="","",Jobs!$X63)</f>
        <v/>
      </c>
      <c r="J63" s="42" t="str">
        <f aca="false">IF(Jobs!$A63="","",Jobs!$Y63)</f>
        <v/>
      </c>
      <c r="K63" s="42" t="str">
        <f aca="false">IF(Jobs!$A63="","",Jobs!$Z63)</f>
        <v/>
      </c>
      <c r="L63" s="41" t="str">
        <f aca="false">IF(Jobs!$A63="","",IF(Jobs!$Z63&lt;&gt;"","Rejected",IF(Jobs!$Y63&lt;&gt;"","Offer",IF(Jobs!$X63&lt;&gt;"","Interview",IF(Jobs!$V63&lt;&gt;"","Responded",IF(Jobs!$U63&lt;&gt;"","Contacted",IF(Jobs!$T63&lt;&gt;"","Applied","Not applied yet")))))))</f>
        <v/>
      </c>
      <c r="M63" s="41" t="str">
        <f aca="false">IF(Jobs!$A63="","",Jobs!$AB63)</f>
        <v/>
      </c>
      <c r="N63" s="42" t="str">
        <f aca="false">IF(Jobs!$A63="","",Jobs!$AA63)</f>
        <v/>
      </c>
    </row>
    <row r="64" customFormat="false" ht="15" hidden="false" customHeight="false" outlineLevel="0" collapsed="false">
      <c r="A64" s="41" t="str">
        <f aca="false">IF(Jobs!$A64="","",Jobs!$A64)</f>
        <v/>
      </c>
      <c r="B64" s="13" t="str">
        <f aca="false">IF(Jobs!$A64="","",Jobs!$E64)</f>
        <v/>
      </c>
      <c r="C64" s="13" t="str">
        <f aca="false">IF(Jobs!$A64="","",Jobs!$F64)</f>
        <v/>
      </c>
      <c r="D64" s="41" t="str">
        <f aca="false">IF(Jobs!$A64="","",Jobs!$P64)</f>
        <v/>
      </c>
      <c r="E64" s="41" t="str">
        <f aca="false">IF(Jobs!$A64="","",Jobs!$S64)</f>
        <v/>
      </c>
      <c r="F64" s="42" t="str">
        <f aca="false">IF(Jobs!$A64="","",Jobs!$T64)</f>
        <v/>
      </c>
      <c r="G64" s="42" t="str">
        <f aca="false">IF(Jobs!$A64="","",Jobs!$U64)</f>
        <v/>
      </c>
      <c r="H64" s="42" t="str">
        <f aca="false">IF(Jobs!$A64="","",Jobs!$V64)</f>
        <v/>
      </c>
      <c r="I64" s="42" t="str">
        <f aca="false">IF(Jobs!$A64="","",Jobs!$X64)</f>
        <v/>
      </c>
      <c r="J64" s="42" t="str">
        <f aca="false">IF(Jobs!$A64="","",Jobs!$Y64)</f>
        <v/>
      </c>
      <c r="K64" s="42" t="str">
        <f aca="false">IF(Jobs!$A64="","",Jobs!$Z64)</f>
        <v/>
      </c>
      <c r="L64" s="41" t="str">
        <f aca="false">IF(Jobs!$A64="","",IF(Jobs!$Z64&lt;&gt;"","Rejected",IF(Jobs!$Y64&lt;&gt;"","Offer",IF(Jobs!$X64&lt;&gt;"","Interview",IF(Jobs!$V64&lt;&gt;"","Responded",IF(Jobs!$U64&lt;&gt;"","Contacted",IF(Jobs!$T64&lt;&gt;"","Applied","Not applied yet")))))))</f>
        <v/>
      </c>
      <c r="M64" s="41" t="str">
        <f aca="false">IF(Jobs!$A64="","",Jobs!$AB64)</f>
        <v/>
      </c>
      <c r="N64" s="42" t="str">
        <f aca="false">IF(Jobs!$A64="","",Jobs!$AA64)</f>
        <v/>
      </c>
    </row>
    <row r="65" customFormat="false" ht="15" hidden="false" customHeight="false" outlineLevel="0" collapsed="false">
      <c r="A65" s="41" t="str">
        <f aca="false">IF(Jobs!$A65="","",Jobs!$A65)</f>
        <v/>
      </c>
      <c r="B65" s="13" t="str">
        <f aca="false">IF(Jobs!$A65="","",Jobs!$E65)</f>
        <v/>
      </c>
      <c r="C65" s="13" t="str">
        <f aca="false">IF(Jobs!$A65="","",Jobs!$F65)</f>
        <v/>
      </c>
      <c r="D65" s="41" t="str">
        <f aca="false">IF(Jobs!$A65="","",Jobs!$P65)</f>
        <v/>
      </c>
      <c r="E65" s="41" t="str">
        <f aca="false">IF(Jobs!$A65="","",Jobs!$S65)</f>
        <v/>
      </c>
      <c r="F65" s="42" t="str">
        <f aca="false">IF(Jobs!$A65="","",Jobs!$T65)</f>
        <v/>
      </c>
      <c r="G65" s="42" t="str">
        <f aca="false">IF(Jobs!$A65="","",Jobs!$U65)</f>
        <v/>
      </c>
      <c r="H65" s="42" t="str">
        <f aca="false">IF(Jobs!$A65="","",Jobs!$V65)</f>
        <v/>
      </c>
      <c r="I65" s="42" t="str">
        <f aca="false">IF(Jobs!$A65="","",Jobs!$X65)</f>
        <v/>
      </c>
      <c r="J65" s="42" t="str">
        <f aca="false">IF(Jobs!$A65="","",Jobs!$Y65)</f>
        <v/>
      </c>
      <c r="K65" s="42" t="str">
        <f aca="false">IF(Jobs!$A65="","",Jobs!$Z65)</f>
        <v/>
      </c>
      <c r="L65" s="41" t="str">
        <f aca="false">IF(Jobs!$A65="","",IF(Jobs!$Z65&lt;&gt;"","Rejected",IF(Jobs!$Y65&lt;&gt;"","Offer",IF(Jobs!$X65&lt;&gt;"","Interview",IF(Jobs!$V65&lt;&gt;"","Responded",IF(Jobs!$U65&lt;&gt;"","Contacted",IF(Jobs!$T65&lt;&gt;"","Applied","Not applied yet")))))))</f>
        <v/>
      </c>
      <c r="M65" s="41" t="str">
        <f aca="false">IF(Jobs!$A65="","",Jobs!$AB65)</f>
        <v/>
      </c>
      <c r="N65" s="42" t="str">
        <f aca="false">IF(Jobs!$A65="","",Jobs!$AA65)</f>
        <v/>
      </c>
    </row>
    <row r="66" customFormat="false" ht="15" hidden="false" customHeight="false" outlineLevel="0" collapsed="false">
      <c r="A66" s="41" t="str">
        <f aca="false">IF(Jobs!$A66="","",Jobs!$A66)</f>
        <v/>
      </c>
      <c r="B66" s="13" t="str">
        <f aca="false">IF(Jobs!$A66="","",Jobs!$E66)</f>
        <v/>
      </c>
      <c r="C66" s="13" t="str">
        <f aca="false">IF(Jobs!$A66="","",Jobs!$F66)</f>
        <v/>
      </c>
      <c r="D66" s="41" t="str">
        <f aca="false">IF(Jobs!$A66="","",Jobs!$P66)</f>
        <v/>
      </c>
      <c r="E66" s="41" t="str">
        <f aca="false">IF(Jobs!$A66="","",Jobs!$S66)</f>
        <v/>
      </c>
      <c r="F66" s="42" t="str">
        <f aca="false">IF(Jobs!$A66="","",Jobs!$T66)</f>
        <v/>
      </c>
      <c r="G66" s="42" t="str">
        <f aca="false">IF(Jobs!$A66="","",Jobs!$U66)</f>
        <v/>
      </c>
      <c r="H66" s="42" t="str">
        <f aca="false">IF(Jobs!$A66="","",Jobs!$V66)</f>
        <v/>
      </c>
      <c r="I66" s="42" t="str">
        <f aca="false">IF(Jobs!$A66="","",Jobs!$X66)</f>
        <v/>
      </c>
      <c r="J66" s="42" t="str">
        <f aca="false">IF(Jobs!$A66="","",Jobs!$Y66)</f>
        <v/>
      </c>
      <c r="K66" s="42" t="str">
        <f aca="false">IF(Jobs!$A66="","",Jobs!$Z66)</f>
        <v/>
      </c>
      <c r="L66" s="41" t="str">
        <f aca="false">IF(Jobs!$A66="","",IF(Jobs!$Z66&lt;&gt;"","Rejected",IF(Jobs!$Y66&lt;&gt;"","Offer",IF(Jobs!$X66&lt;&gt;"","Interview",IF(Jobs!$V66&lt;&gt;"","Responded",IF(Jobs!$U66&lt;&gt;"","Contacted",IF(Jobs!$T66&lt;&gt;"","Applied","Not applied yet")))))))</f>
        <v/>
      </c>
      <c r="M66" s="41" t="str">
        <f aca="false">IF(Jobs!$A66="","",Jobs!$AB66)</f>
        <v/>
      </c>
      <c r="N66" s="42" t="str">
        <f aca="false">IF(Jobs!$A66="","",Jobs!$AA66)</f>
        <v/>
      </c>
    </row>
    <row r="67" customFormat="false" ht="15" hidden="false" customHeight="false" outlineLevel="0" collapsed="false">
      <c r="A67" s="41" t="str">
        <f aca="false">IF(Jobs!$A67="","",Jobs!$A67)</f>
        <v/>
      </c>
      <c r="B67" s="13" t="str">
        <f aca="false">IF(Jobs!$A67="","",Jobs!$E67)</f>
        <v/>
      </c>
      <c r="C67" s="13" t="str">
        <f aca="false">IF(Jobs!$A67="","",Jobs!$F67)</f>
        <v/>
      </c>
      <c r="D67" s="41" t="str">
        <f aca="false">IF(Jobs!$A67="","",Jobs!$P67)</f>
        <v/>
      </c>
      <c r="E67" s="41" t="str">
        <f aca="false">IF(Jobs!$A67="","",Jobs!$S67)</f>
        <v/>
      </c>
      <c r="F67" s="42" t="str">
        <f aca="false">IF(Jobs!$A67="","",Jobs!$T67)</f>
        <v/>
      </c>
      <c r="G67" s="42" t="str">
        <f aca="false">IF(Jobs!$A67="","",Jobs!$U67)</f>
        <v/>
      </c>
      <c r="H67" s="42" t="str">
        <f aca="false">IF(Jobs!$A67="","",Jobs!$V67)</f>
        <v/>
      </c>
      <c r="I67" s="42" t="str">
        <f aca="false">IF(Jobs!$A67="","",Jobs!$X67)</f>
        <v/>
      </c>
      <c r="J67" s="42" t="str">
        <f aca="false">IF(Jobs!$A67="","",Jobs!$Y67)</f>
        <v/>
      </c>
      <c r="K67" s="42" t="str">
        <f aca="false">IF(Jobs!$A67="","",Jobs!$Z67)</f>
        <v/>
      </c>
      <c r="L67" s="41" t="str">
        <f aca="false">IF(Jobs!$A67="","",IF(Jobs!$Z67&lt;&gt;"","Rejected",IF(Jobs!$Y67&lt;&gt;"","Offer",IF(Jobs!$X67&lt;&gt;"","Interview",IF(Jobs!$V67&lt;&gt;"","Responded",IF(Jobs!$U67&lt;&gt;"","Contacted",IF(Jobs!$T67&lt;&gt;"","Applied","Not applied yet")))))))</f>
        <v/>
      </c>
      <c r="M67" s="41" t="str">
        <f aca="false">IF(Jobs!$A67="","",Jobs!$AB67)</f>
        <v/>
      </c>
      <c r="N67" s="42" t="str">
        <f aca="false">IF(Jobs!$A67="","",Jobs!$AA67)</f>
        <v/>
      </c>
    </row>
    <row r="68" customFormat="false" ht="15" hidden="false" customHeight="false" outlineLevel="0" collapsed="false">
      <c r="A68" s="41" t="str">
        <f aca="false">IF(Jobs!$A68="","",Jobs!$A68)</f>
        <v/>
      </c>
      <c r="B68" s="13" t="str">
        <f aca="false">IF(Jobs!$A68="","",Jobs!$E68)</f>
        <v/>
      </c>
      <c r="C68" s="13" t="str">
        <f aca="false">IF(Jobs!$A68="","",Jobs!$F68)</f>
        <v/>
      </c>
      <c r="D68" s="41" t="str">
        <f aca="false">IF(Jobs!$A68="","",Jobs!$P68)</f>
        <v/>
      </c>
      <c r="E68" s="41" t="str">
        <f aca="false">IF(Jobs!$A68="","",Jobs!$S68)</f>
        <v/>
      </c>
      <c r="F68" s="42" t="str">
        <f aca="false">IF(Jobs!$A68="","",Jobs!$T68)</f>
        <v/>
      </c>
      <c r="G68" s="42" t="str">
        <f aca="false">IF(Jobs!$A68="","",Jobs!$U68)</f>
        <v/>
      </c>
      <c r="H68" s="42" t="str">
        <f aca="false">IF(Jobs!$A68="","",Jobs!$V68)</f>
        <v/>
      </c>
      <c r="I68" s="42" t="str">
        <f aca="false">IF(Jobs!$A68="","",Jobs!$X68)</f>
        <v/>
      </c>
      <c r="J68" s="42" t="str">
        <f aca="false">IF(Jobs!$A68="","",Jobs!$Y68)</f>
        <v/>
      </c>
      <c r="K68" s="42" t="str">
        <f aca="false">IF(Jobs!$A68="","",Jobs!$Z68)</f>
        <v/>
      </c>
      <c r="L68" s="41" t="str">
        <f aca="false">IF(Jobs!$A68="","",IF(Jobs!$Z68&lt;&gt;"","Rejected",IF(Jobs!$Y68&lt;&gt;"","Offer",IF(Jobs!$X68&lt;&gt;"","Interview",IF(Jobs!$V68&lt;&gt;"","Responded",IF(Jobs!$U68&lt;&gt;"","Contacted",IF(Jobs!$T68&lt;&gt;"","Applied","Not applied yet")))))))</f>
        <v/>
      </c>
      <c r="M68" s="41" t="str">
        <f aca="false">IF(Jobs!$A68="","",Jobs!$AB68)</f>
        <v/>
      </c>
      <c r="N68" s="42" t="str">
        <f aca="false">IF(Jobs!$A68="","",Jobs!$AA68)</f>
        <v/>
      </c>
    </row>
    <row r="69" customFormat="false" ht="15" hidden="false" customHeight="false" outlineLevel="0" collapsed="false">
      <c r="A69" s="41" t="str">
        <f aca="false">IF(Jobs!$A69="","",Jobs!$A69)</f>
        <v/>
      </c>
      <c r="B69" s="13" t="str">
        <f aca="false">IF(Jobs!$A69="","",Jobs!$E69)</f>
        <v/>
      </c>
      <c r="C69" s="13" t="str">
        <f aca="false">IF(Jobs!$A69="","",Jobs!$F69)</f>
        <v/>
      </c>
      <c r="D69" s="41" t="str">
        <f aca="false">IF(Jobs!$A69="","",Jobs!$P69)</f>
        <v/>
      </c>
      <c r="E69" s="41" t="str">
        <f aca="false">IF(Jobs!$A69="","",Jobs!$S69)</f>
        <v/>
      </c>
      <c r="F69" s="42" t="str">
        <f aca="false">IF(Jobs!$A69="","",Jobs!$T69)</f>
        <v/>
      </c>
      <c r="G69" s="42" t="str">
        <f aca="false">IF(Jobs!$A69="","",Jobs!$U69)</f>
        <v/>
      </c>
      <c r="H69" s="42" t="str">
        <f aca="false">IF(Jobs!$A69="","",Jobs!$V69)</f>
        <v/>
      </c>
      <c r="I69" s="42" t="str">
        <f aca="false">IF(Jobs!$A69="","",Jobs!$X69)</f>
        <v/>
      </c>
      <c r="J69" s="42" t="str">
        <f aca="false">IF(Jobs!$A69="","",Jobs!$Y69)</f>
        <v/>
      </c>
      <c r="K69" s="42" t="str">
        <f aca="false">IF(Jobs!$A69="","",Jobs!$Z69)</f>
        <v/>
      </c>
      <c r="L69" s="41" t="str">
        <f aca="false">IF(Jobs!$A69="","",IF(Jobs!$Z69&lt;&gt;"","Rejected",IF(Jobs!$Y69&lt;&gt;"","Offer",IF(Jobs!$X69&lt;&gt;"","Interview",IF(Jobs!$V69&lt;&gt;"","Responded",IF(Jobs!$U69&lt;&gt;"","Contacted",IF(Jobs!$T69&lt;&gt;"","Applied","Not applied yet")))))))</f>
        <v/>
      </c>
      <c r="M69" s="41" t="str">
        <f aca="false">IF(Jobs!$A69="","",Jobs!$AB69)</f>
        <v/>
      </c>
      <c r="N69" s="42" t="str">
        <f aca="false">IF(Jobs!$A69="","",Jobs!$AA69)</f>
        <v/>
      </c>
    </row>
    <row r="70" customFormat="false" ht="15" hidden="false" customHeight="false" outlineLevel="0" collapsed="false">
      <c r="A70" s="41" t="str">
        <f aca="false">IF(Jobs!$A70="","",Jobs!$A70)</f>
        <v/>
      </c>
      <c r="B70" s="13" t="str">
        <f aca="false">IF(Jobs!$A70="","",Jobs!$E70)</f>
        <v/>
      </c>
      <c r="C70" s="13" t="str">
        <f aca="false">IF(Jobs!$A70="","",Jobs!$F70)</f>
        <v/>
      </c>
      <c r="D70" s="41" t="str">
        <f aca="false">IF(Jobs!$A70="","",Jobs!$P70)</f>
        <v/>
      </c>
      <c r="E70" s="41" t="str">
        <f aca="false">IF(Jobs!$A70="","",Jobs!$S70)</f>
        <v/>
      </c>
      <c r="F70" s="42" t="str">
        <f aca="false">IF(Jobs!$A70="","",Jobs!$T70)</f>
        <v/>
      </c>
      <c r="G70" s="42" t="str">
        <f aca="false">IF(Jobs!$A70="","",Jobs!$U70)</f>
        <v/>
      </c>
      <c r="H70" s="42" t="str">
        <f aca="false">IF(Jobs!$A70="","",Jobs!$V70)</f>
        <v/>
      </c>
      <c r="I70" s="42" t="str">
        <f aca="false">IF(Jobs!$A70="","",Jobs!$X70)</f>
        <v/>
      </c>
      <c r="J70" s="42" t="str">
        <f aca="false">IF(Jobs!$A70="","",Jobs!$Y70)</f>
        <v/>
      </c>
      <c r="K70" s="42" t="str">
        <f aca="false">IF(Jobs!$A70="","",Jobs!$Z70)</f>
        <v/>
      </c>
      <c r="L70" s="41" t="str">
        <f aca="false">IF(Jobs!$A70="","",IF(Jobs!$Z70&lt;&gt;"","Rejected",IF(Jobs!$Y70&lt;&gt;"","Offer",IF(Jobs!$X70&lt;&gt;"","Interview",IF(Jobs!$V70&lt;&gt;"","Responded",IF(Jobs!$U70&lt;&gt;"","Contacted",IF(Jobs!$T70&lt;&gt;"","Applied","Not applied yet")))))))</f>
        <v/>
      </c>
      <c r="M70" s="41" t="str">
        <f aca="false">IF(Jobs!$A70="","",Jobs!$AB70)</f>
        <v/>
      </c>
      <c r="N70" s="42" t="str">
        <f aca="false">IF(Jobs!$A70="","",Jobs!$AA70)</f>
        <v/>
      </c>
    </row>
    <row r="71" customFormat="false" ht="15" hidden="false" customHeight="false" outlineLevel="0" collapsed="false">
      <c r="A71" s="41" t="str">
        <f aca="false">IF(Jobs!$A71="","",Jobs!$A71)</f>
        <v/>
      </c>
      <c r="B71" s="13" t="str">
        <f aca="false">IF(Jobs!$A71="","",Jobs!$E71)</f>
        <v/>
      </c>
      <c r="C71" s="13" t="str">
        <f aca="false">IF(Jobs!$A71="","",Jobs!$F71)</f>
        <v/>
      </c>
      <c r="D71" s="41" t="str">
        <f aca="false">IF(Jobs!$A71="","",Jobs!$P71)</f>
        <v/>
      </c>
      <c r="E71" s="41" t="str">
        <f aca="false">IF(Jobs!$A71="","",Jobs!$S71)</f>
        <v/>
      </c>
      <c r="F71" s="42" t="str">
        <f aca="false">IF(Jobs!$A71="","",Jobs!$T71)</f>
        <v/>
      </c>
      <c r="G71" s="42" t="str">
        <f aca="false">IF(Jobs!$A71="","",Jobs!$U71)</f>
        <v/>
      </c>
      <c r="H71" s="42" t="str">
        <f aca="false">IF(Jobs!$A71="","",Jobs!$V71)</f>
        <v/>
      </c>
      <c r="I71" s="42" t="str">
        <f aca="false">IF(Jobs!$A71="","",Jobs!$X71)</f>
        <v/>
      </c>
      <c r="J71" s="42" t="str">
        <f aca="false">IF(Jobs!$A71="","",Jobs!$Y71)</f>
        <v/>
      </c>
      <c r="K71" s="42" t="str">
        <f aca="false">IF(Jobs!$A71="","",Jobs!$Z71)</f>
        <v/>
      </c>
      <c r="L71" s="41" t="str">
        <f aca="false">IF(Jobs!$A71="","",IF(Jobs!$Z71&lt;&gt;"","Rejected",IF(Jobs!$Y71&lt;&gt;"","Offer",IF(Jobs!$X71&lt;&gt;"","Interview",IF(Jobs!$V71&lt;&gt;"","Responded",IF(Jobs!$U71&lt;&gt;"","Contacted",IF(Jobs!$T71&lt;&gt;"","Applied","Not applied yet")))))))</f>
        <v/>
      </c>
      <c r="M71" s="41" t="str">
        <f aca="false">IF(Jobs!$A71="","",Jobs!$AB71)</f>
        <v/>
      </c>
      <c r="N71" s="42" t="str">
        <f aca="false">IF(Jobs!$A71="","",Jobs!$AA71)</f>
        <v/>
      </c>
    </row>
    <row r="72" customFormat="false" ht="15" hidden="false" customHeight="false" outlineLevel="0" collapsed="false">
      <c r="A72" s="41" t="str">
        <f aca="false">IF(Jobs!$A72="","",Jobs!$A72)</f>
        <v/>
      </c>
      <c r="B72" s="13" t="str">
        <f aca="false">IF(Jobs!$A72="","",Jobs!$E72)</f>
        <v/>
      </c>
      <c r="C72" s="13" t="str">
        <f aca="false">IF(Jobs!$A72="","",Jobs!$F72)</f>
        <v/>
      </c>
      <c r="D72" s="41" t="str">
        <f aca="false">IF(Jobs!$A72="","",Jobs!$P72)</f>
        <v/>
      </c>
      <c r="E72" s="41" t="str">
        <f aca="false">IF(Jobs!$A72="","",Jobs!$S72)</f>
        <v/>
      </c>
      <c r="F72" s="42" t="str">
        <f aca="false">IF(Jobs!$A72="","",Jobs!$T72)</f>
        <v/>
      </c>
      <c r="G72" s="42" t="str">
        <f aca="false">IF(Jobs!$A72="","",Jobs!$U72)</f>
        <v/>
      </c>
      <c r="H72" s="42" t="str">
        <f aca="false">IF(Jobs!$A72="","",Jobs!$V72)</f>
        <v/>
      </c>
      <c r="I72" s="42" t="str">
        <f aca="false">IF(Jobs!$A72="","",Jobs!$X72)</f>
        <v/>
      </c>
      <c r="J72" s="42" t="str">
        <f aca="false">IF(Jobs!$A72="","",Jobs!$Y72)</f>
        <v/>
      </c>
      <c r="K72" s="42" t="str">
        <f aca="false">IF(Jobs!$A72="","",Jobs!$Z72)</f>
        <v/>
      </c>
      <c r="L72" s="41" t="str">
        <f aca="false">IF(Jobs!$A72="","",IF(Jobs!$Z72&lt;&gt;"","Rejected",IF(Jobs!$Y72&lt;&gt;"","Offer",IF(Jobs!$X72&lt;&gt;"","Interview",IF(Jobs!$V72&lt;&gt;"","Responded",IF(Jobs!$U72&lt;&gt;"","Contacted",IF(Jobs!$T72&lt;&gt;"","Applied","Not applied yet")))))))</f>
        <v/>
      </c>
      <c r="M72" s="41" t="str">
        <f aca="false">IF(Jobs!$A72="","",Jobs!$AB72)</f>
        <v/>
      </c>
      <c r="N72" s="42" t="str">
        <f aca="false">IF(Jobs!$A72="","",Jobs!$AA72)</f>
        <v/>
      </c>
    </row>
    <row r="73" customFormat="false" ht="15" hidden="false" customHeight="false" outlineLevel="0" collapsed="false">
      <c r="A73" s="41" t="str">
        <f aca="false">IF(Jobs!$A73="","",Jobs!$A73)</f>
        <v/>
      </c>
      <c r="B73" s="13" t="str">
        <f aca="false">IF(Jobs!$A73="","",Jobs!$E73)</f>
        <v/>
      </c>
      <c r="C73" s="13" t="str">
        <f aca="false">IF(Jobs!$A73="","",Jobs!$F73)</f>
        <v/>
      </c>
      <c r="D73" s="41" t="str">
        <f aca="false">IF(Jobs!$A73="","",Jobs!$P73)</f>
        <v/>
      </c>
      <c r="E73" s="41" t="str">
        <f aca="false">IF(Jobs!$A73="","",Jobs!$S73)</f>
        <v/>
      </c>
      <c r="F73" s="42" t="str">
        <f aca="false">IF(Jobs!$A73="","",Jobs!$T73)</f>
        <v/>
      </c>
      <c r="G73" s="42" t="str">
        <f aca="false">IF(Jobs!$A73="","",Jobs!$U73)</f>
        <v/>
      </c>
      <c r="H73" s="42" t="str">
        <f aca="false">IF(Jobs!$A73="","",Jobs!$V73)</f>
        <v/>
      </c>
      <c r="I73" s="42" t="str">
        <f aca="false">IF(Jobs!$A73="","",Jobs!$X73)</f>
        <v/>
      </c>
      <c r="J73" s="42" t="str">
        <f aca="false">IF(Jobs!$A73="","",Jobs!$Y73)</f>
        <v/>
      </c>
      <c r="K73" s="42" t="str">
        <f aca="false">IF(Jobs!$A73="","",Jobs!$Z73)</f>
        <v/>
      </c>
      <c r="L73" s="41" t="str">
        <f aca="false">IF(Jobs!$A73="","",IF(Jobs!$Z73&lt;&gt;"","Rejected",IF(Jobs!$Y73&lt;&gt;"","Offer",IF(Jobs!$X73&lt;&gt;"","Interview",IF(Jobs!$V73&lt;&gt;"","Responded",IF(Jobs!$U73&lt;&gt;"","Contacted",IF(Jobs!$T73&lt;&gt;"","Applied","Not applied yet")))))))</f>
        <v/>
      </c>
      <c r="M73" s="41" t="str">
        <f aca="false">IF(Jobs!$A73="","",Jobs!$AB73)</f>
        <v/>
      </c>
      <c r="N73" s="42" t="str">
        <f aca="false">IF(Jobs!$A73="","",Jobs!$AA73)</f>
        <v/>
      </c>
    </row>
    <row r="74" customFormat="false" ht="15" hidden="false" customHeight="false" outlineLevel="0" collapsed="false">
      <c r="A74" s="41" t="str">
        <f aca="false">IF(Jobs!$A74="","",Jobs!$A74)</f>
        <v/>
      </c>
      <c r="B74" s="13" t="str">
        <f aca="false">IF(Jobs!$A74="","",Jobs!$E74)</f>
        <v/>
      </c>
      <c r="C74" s="13" t="str">
        <f aca="false">IF(Jobs!$A74="","",Jobs!$F74)</f>
        <v/>
      </c>
      <c r="D74" s="41" t="str">
        <f aca="false">IF(Jobs!$A74="","",Jobs!$P74)</f>
        <v/>
      </c>
      <c r="E74" s="41" t="str">
        <f aca="false">IF(Jobs!$A74="","",Jobs!$S74)</f>
        <v/>
      </c>
      <c r="F74" s="42" t="str">
        <f aca="false">IF(Jobs!$A74="","",Jobs!$T74)</f>
        <v/>
      </c>
      <c r="G74" s="42" t="str">
        <f aca="false">IF(Jobs!$A74="","",Jobs!$U74)</f>
        <v/>
      </c>
      <c r="H74" s="42" t="str">
        <f aca="false">IF(Jobs!$A74="","",Jobs!$V74)</f>
        <v/>
      </c>
      <c r="I74" s="42" t="str">
        <f aca="false">IF(Jobs!$A74="","",Jobs!$X74)</f>
        <v/>
      </c>
      <c r="J74" s="42" t="str">
        <f aca="false">IF(Jobs!$A74="","",Jobs!$Y74)</f>
        <v/>
      </c>
      <c r="K74" s="42" t="str">
        <f aca="false">IF(Jobs!$A74="","",Jobs!$Z74)</f>
        <v/>
      </c>
      <c r="L74" s="41" t="str">
        <f aca="false">IF(Jobs!$A74="","",IF(Jobs!$Z74&lt;&gt;"","Rejected",IF(Jobs!$Y74&lt;&gt;"","Offer",IF(Jobs!$X74&lt;&gt;"","Interview",IF(Jobs!$V74&lt;&gt;"","Responded",IF(Jobs!$U74&lt;&gt;"","Contacted",IF(Jobs!$T74&lt;&gt;"","Applied","Not applied yet")))))))</f>
        <v/>
      </c>
      <c r="M74" s="41" t="str">
        <f aca="false">IF(Jobs!$A74="","",Jobs!$AB74)</f>
        <v/>
      </c>
      <c r="N74" s="42" t="str">
        <f aca="false">IF(Jobs!$A74="","",Jobs!$AA74)</f>
        <v/>
      </c>
    </row>
    <row r="75" customFormat="false" ht="15" hidden="false" customHeight="false" outlineLevel="0" collapsed="false">
      <c r="A75" s="41" t="str">
        <f aca="false">IF(Jobs!$A75="","",Jobs!$A75)</f>
        <v/>
      </c>
      <c r="B75" s="13" t="str">
        <f aca="false">IF(Jobs!$A75="","",Jobs!$E75)</f>
        <v/>
      </c>
      <c r="C75" s="13" t="str">
        <f aca="false">IF(Jobs!$A75="","",Jobs!$F75)</f>
        <v/>
      </c>
      <c r="D75" s="41" t="str">
        <f aca="false">IF(Jobs!$A75="","",Jobs!$P75)</f>
        <v/>
      </c>
      <c r="E75" s="41" t="str">
        <f aca="false">IF(Jobs!$A75="","",Jobs!$S75)</f>
        <v/>
      </c>
      <c r="F75" s="42" t="str">
        <f aca="false">IF(Jobs!$A75="","",Jobs!$T75)</f>
        <v/>
      </c>
      <c r="G75" s="42" t="str">
        <f aca="false">IF(Jobs!$A75="","",Jobs!$U75)</f>
        <v/>
      </c>
      <c r="H75" s="42" t="str">
        <f aca="false">IF(Jobs!$A75="","",Jobs!$V75)</f>
        <v/>
      </c>
      <c r="I75" s="42" t="str">
        <f aca="false">IF(Jobs!$A75="","",Jobs!$X75)</f>
        <v/>
      </c>
      <c r="J75" s="42" t="str">
        <f aca="false">IF(Jobs!$A75="","",Jobs!$Y75)</f>
        <v/>
      </c>
      <c r="K75" s="42" t="str">
        <f aca="false">IF(Jobs!$A75="","",Jobs!$Z75)</f>
        <v/>
      </c>
      <c r="L75" s="41" t="str">
        <f aca="false">IF(Jobs!$A75="","",IF(Jobs!$Z75&lt;&gt;"","Rejected",IF(Jobs!$Y75&lt;&gt;"","Offer",IF(Jobs!$X75&lt;&gt;"","Interview",IF(Jobs!$V75&lt;&gt;"","Responded",IF(Jobs!$U75&lt;&gt;"","Contacted",IF(Jobs!$T75&lt;&gt;"","Applied","Not applied yet")))))))</f>
        <v/>
      </c>
      <c r="M75" s="41" t="str">
        <f aca="false">IF(Jobs!$A75="","",Jobs!$AB75)</f>
        <v/>
      </c>
      <c r="N75" s="42" t="str">
        <f aca="false">IF(Jobs!$A75="","",Jobs!$AA75)</f>
        <v/>
      </c>
    </row>
    <row r="76" customFormat="false" ht="15" hidden="false" customHeight="false" outlineLevel="0" collapsed="false">
      <c r="A76" s="41" t="str">
        <f aca="false">IF(Jobs!$A76="","",Jobs!$A76)</f>
        <v/>
      </c>
      <c r="B76" s="13" t="str">
        <f aca="false">IF(Jobs!$A76="","",Jobs!$E76)</f>
        <v/>
      </c>
      <c r="C76" s="13" t="str">
        <f aca="false">IF(Jobs!$A76="","",Jobs!$F76)</f>
        <v/>
      </c>
      <c r="D76" s="41" t="str">
        <f aca="false">IF(Jobs!$A76="","",Jobs!$P76)</f>
        <v/>
      </c>
      <c r="E76" s="41" t="str">
        <f aca="false">IF(Jobs!$A76="","",Jobs!$S76)</f>
        <v/>
      </c>
      <c r="F76" s="42" t="str">
        <f aca="false">IF(Jobs!$A76="","",Jobs!$T76)</f>
        <v/>
      </c>
      <c r="G76" s="42" t="str">
        <f aca="false">IF(Jobs!$A76="","",Jobs!$U76)</f>
        <v/>
      </c>
      <c r="H76" s="42" t="str">
        <f aca="false">IF(Jobs!$A76="","",Jobs!$V76)</f>
        <v/>
      </c>
      <c r="I76" s="42" t="str">
        <f aca="false">IF(Jobs!$A76="","",Jobs!$X76)</f>
        <v/>
      </c>
      <c r="J76" s="42" t="str">
        <f aca="false">IF(Jobs!$A76="","",Jobs!$Y76)</f>
        <v/>
      </c>
      <c r="K76" s="42" t="str">
        <f aca="false">IF(Jobs!$A76="","",Jobs!$Z76)</f>
        <v/>
      </c>
      <c r="L76" s="41" t="str">
        <f aca="false">IF(Jobs!$A76="","",IF(Jobs!$Z76&lt;&gt;"","Rejected",IF(Jobs!$Y76&lt;&gt;"","Offer",IF(Jobs!$X76&lt;&gt;"","Interview",IF(Jobs!$V76&lt;&gt;"","Responded",IF(Jobs!$U76&lt;&gt;"","Contacted",IF(Jobs!$T76&lt;&gt;"","Applied","Not applied yet")))))))</f>
        <v/>
      </c>
      <c r="M76" s="41" t="str">
        <f aca="false">IF(Jobs!$A76="","",Jobs!$AB76)</f>
        <v/>
      </c>
      <c r="N76" s="42" t="str">
        <f aca="false">IF(Jobs!$A76="","",Jobs!$AA76)</f>
        <v/>
      </c>
    </row>
    <row r="77" customFormat="false" ht="15" hidden="false" customHeight="false" outlineLevel="0" collapsed="false">
      <c r="A77" s="41" t="str">
        <f aca="false">IF(Jobs!$A77="","",Jobs!$A77)</f>
        <v/>
      </c>
      <c r="B77" s="13" t="str">
        <f aca="false">IF(Jobs!$A77="","",Jobs!$E77)</f>
        <v/>
      </c>
      <c r="C77" s="13" t="str">
        <f aca="false">IF(Jobs!$A77="","",Jobs!$F77)</f>
        <v/>
      </c>
      <c r="D77" s="41" t="str">
        <f aca="false">IF(Jobs!$A77="","",Jobs!$P77)</f>
        <v/>
      </c>
      <c r="E77" s="41" t="str">
        <f aca="false">IF(Jobs!$A77="","",Jobs!$S77)</f>
        <v/>
      </c>
      <c r="F77" s="42" t="str">
        <f aca="false">IF(Jobs!$A77="","",Jobs!$T77)</f>
        <v/>
      </c>
      <c r="G77" s="42" t="str">
        <f aca="false">IF(Jobs!$A77="","",Jobs!$U77)</f>
        <v/>
      </c>
      <c r="H77" s="42" t="str">
        <f aca="false">IF(Jobs!$A77="","",Jobs!$V77)</f>
        <v/>
      </c>
      <c r="I77" s="42" t="str">
        <f aca="false">IF(Jobs!$A77="","",Jobs!$X77)</f>
        <v/>
      </c>
      <c r="J77" s="42" t="str">
        <f aca="false">IF(Jobs!$A77="","",Jobs!$Y77)</f>
        <v/>
      </c>
      <c r="K77" s="42" t="str">
        <f aca="false">IF(Jobs!$A77="","",Jobs!$Z77)</f>
        <v/>
      </c>
      <c r="L77" s="41" t="str">
        <f aca="false">IF(Jobs!$A77="","",IF(Jobs!$Z77&lt;&gt;"","Rejected",IF(Jobs!$Y77&lt;&gt;"","Offer",IF(Jobs!$X77&lt;&gt;"","Interview",IF(Jobs!$V77&lt;&gt;"","Responded",IF(Jobs!$U77&lt;&gt;"","Contacted",IF(Jobs!$T77&lt;&gt;"","Applied","Not applied yet")))))))</f>
        <v/>
      </c>
      <c r="M77" s="41" t="str">
        <f aca="false">IF(Jobs!$A77="","",Jobs!$AB77)</f>
        <v/>
      </c>
      <c r="N77" s="42" t="str">
        <f aca="false">IF(Jobs!$A77="","",Jobs!$AA77)</f>
        <v/>
      </c>
    </row>
    <row r="78" customFormat="false" ht="15" hidden="false" customHeight="false" outlineLevel="0" collapsed="false">
      <c r="A78" s="41" t="str">
        <f aca="false">IF(Jobs!$A78="","",Jobs!$A78)</f>
        <v/>
      </c>
      <c r="B78" s="13" t="str">
        <f aca="false">IF(Jobs!$A78="","",Jobs!$E78)</f>
        <v/>
      </c>
      <c r="C78" s="13" t="str">
        <f aca="false">IF(Jobs!$A78="","",Jobs!$F78)</f>
        <v/>
      </c>
      <c r="D78" s="41" t="str">
        <f aca="false">IF(Jobs!$A78="","",Jobs!$P78)</f>
        <v/>
      </c>
      <c r="E78" s="41" t="str">
        <f aca="false">IF(Jobs!$A78="","",Jobs!$S78)</f>
        <v/>
      </c>
      <c r="F78" s="42" t="str">
        <f aca="false">IF(Jobs!$A78="","",Jobs!$T78)</f>
        <v/>
      </c>
      <c r="G78" s="42" t="str">
        <f aca="false">IF(Jobs!$A78="","",Jobs!$U78)</f>
        <v/>
      </c>
      <c r="H78" s="42" t="str">
        <f aca="false">IF(Jobs!$A78="","",Jobs!$V78)</f>
        <v/>
      </c>
      <c r="I78" s="42" t="str">
        <f aca="false">IF(Jobs!$A78="","",Jobs!$X78)</f>
        <v/>
      </c>
      <c r="J78" s="42" t="str">
        <f aca="false">IF(Jobs!$A78="","",Jobs!$Y78)</f>
        <v/>
      </c>
      <c r="K78" s="42" t="str">
        <f aca="false">IF(Jobs!$A78="","",Jobs!$Z78)</f>
        <v/>
      </c>
      <c r="L78" s="41" t="str">
        <f aca="false">IF(Jobs!$A78="","",IF(Jobs!$Z78&lt;&gt;"","Rejected",IF(Jobs!$Y78&lt;&gt;"","Offer",IF(Jobs!$X78&lt;&gt;"","Interview",IF(Jobs!$V78&lt;&gt;"","Responded",IF(Jobs!$U78&lt;&gt;"","Contacted",IF(Jobs!$T78&lt;&gt;"","Applied","Not applied yet")))))))</f>
        <v/>
      </c>
      <c r="M78" s="41" t="str">
        <f aca="false">IF(Jobs!$A78="","",Jobs!$AB78)</f>
        <v/>
      </c>
      <c r="N78" s="42" t="str">
        <f aca="false">IF(Jobs!$A78="","",Jobs!$AA78)</f>
        <v/>
      </c>
    </row>
    <row r="79" customFormat="false" ht="15" hidden="false" customHeight="false" outlineLevel="0" collapsed="false">
      <c r="A79" s="41" t="str">
        <f aca="false">IF(Jobs!$A79="","",Jobs!$A79)</f>
        <v/>
      </c>
      <c r="B79" s="13" t="str">
        <f aca="false">IF(Jobs!$A79="","",Jobs!$E79)</f>
        <v/>
      </c>
      <c r="C79" s="13" t="str">
        <f aca="false">IF(Jobs!$A79="","",Jobs!$F79)</f>
        <v/>
      </c>
      <c r="D79" s="41" t="str">
        <f aca="false">IF(Jobs!$A79="","",Jobs!$P79)</f>
        <v/>
      </c>
      <c r="E79" s="41" t="str">
        <f aca="false">IF(Jobs!$A79="","",Jobs!$S79)</f>
        <v/>
      </c>
      <c r="F79" s="42" t="str">
        <f aca="false">IF(Jobs!$A79="","",Jobs!$T79)</f>
        <v/>
      </c>
      <c r="G79" s="42" t="str">
        <f aca="false">IF(Jobs!$A79="","",Jobs!$U79)</f>
        <v/>
      </c>
      <c r="H79" s="42" t="str">
        <f aca="false">IF(Jobs!$A79="","",Jobs!$V79)</f>
        <v/>
      </c>
      <c r="I79" s="42" t="str">
        <f aca="false">IF(Jobs!$A79="","",Jobs!$X79)</f>
        <v/>
      </c>
      <c r="J79" s="42" t="str">
        <f aca="false">IF(Jobs!$A79="","",Jobs!$Y79)</f>
        <v/>
      </c>
      <c r="K79" s="42" t="str">
        <f aca="false">IF(Jobs!$A79="","",Jobs!$Z79)</f>
        <v/>
      </c>
      <c r="L79" s="41" t="str">
        <f aca="false">IF(Jobs!$A79="","",IF(Jobs!$Z79&lt;&gt;"","Rejected",IF(Jobs!$Y79&lt;&gt;"","Offer",IF(Jobs!$X79&lt;&gt;"","Interview",IF(Jobs!$V79&lt;&gt;"","Responded",IF(Jobs!$U79&lt;&gt;"","Contacted",IF(Jobs!$T79&lt;&gt;"","Applied","Not applied yet")))))))</f>
        <v/>
      </c>
      <c r="M79" s="41" t="str">
        <f aca="false">IF(Jobs!$A79="","",Jobs!$AB79)</f>
        <v/>
      </c>
      <c r="N79" s="42" t="str">
        <f aca="false">IF(Jobs!$A79="","",Jobs!$AA79)</f>
        <v/>
      </c>
    </row>
    <row r="80" customFormat="false" ht="15" hidden="false" customHeight="false" outlineLevel="0" collapsed="false">
      <c r="A80" s="41" t="str">
        <f aca="false">IF(Jobs!$A80="","",Jobs!$A80)</f>
        <v/>
      </c>
      <c r="B80" s="13" t="str">
        <f aca="false">IF(Jobs!$A80="","",Jobs!$E80)</f>
        <v/>
      </c>
      <c r="C80" s="13" t="str">
        <f aca="false">IF(Jobs!$A80="","",Jobs!$F80)</f>
        <v/>
      </c>
      <c r="D80" s="41" t="str">
        <f aca="false">IF(Jobs!$A80="","",Jobs!$P80)</f>
        <v/>
      </c>
      <c r="E80" s="41" t="str">
        <f aca="false">IF(Jobs!$A80="","",Jobs!$S80)</f>
        <v/>
      </c>
      <c r="F80" s="42" t="str">
        <f aca="false">IF(Jobs!$A80="","",Jobs!$T80)</f>
        <v/>
      </c>
      <c r="G80" s="42" t="str">
        <f aca="false">IF(Jobs!$A80="","",Jobs!$U80)</f>
        <v/>
      </c>
      <c r="H80" s="42" t="str">
        <f aca="false">IF(Jobs!$A80="","",Jobs!$V80)</f>
        <v/>
      </c>
      <c r="I80" s="42" t="str">
        <f aca="false">IF(Jobs!$A80="","",Jobs!$X80)</f>
        <v/>
      </c>
      <c r="J80" s="42" t="str">
        <f aca="false">IF(Jobs!$A80="","",Jobs!$Y80)</f>
        <v/>
      </c>
      <c r="K80" s="42" t="str">
        <f aca="false">IF(Jobs!$A80="","",Jobs!$Z80)</f>
        <v/>
      </c>
      <c r="L80" s="41" t="str">
        <f aca="false">IF(Jobs!$A80="","",IF(Jobs!$Z80&lt;&gt;"","Rejected",IF(Jobs!$Y80&lt;&gt;"","Offer",IF(Jobs!$X80&lt;&gt;"","Interview",IF(Jobs!$V80&lt;&gt;"","Responded",IF(Jobs!$U80&lt;&gt;"","Contacted",IF(Jobs!$T80&lt;&gt;"","Applied","Not applied yet")))))))</f>
        <v/>
      </c>
      <c r="M80" s="41" t="str">
        <f aca="false">IF(Jobs!$A80="","",Jobs!$AB80)</f>
        <v/>
      </c>
      <c r="N80" s="42" t="str">
        <f aca="false">IF(Jobs!$A80="","",Jobs!$AA80)</f>
        <v/>
      </c>
    </row>
    <row r="81" customFormat="false" ht="15" hidden="false" customHeight="false" outlineLevel="0" collapsed="false">
      <c r="A81" s="41" t="str">
        <f aca="false">IF(Jobs!$A81="","",Jobs!$A81)</f>
        <v/>
      </c>
      <c r="B81" s="13" t="str">
        <f aca="false">IF(Jobs!$A81="","",Jobs!$E81)</f>
        <v/>
      </c>
      <c r="C81" s="13" t="str">
        <f aca="false">IF(Jobs!$A81="","",Jobs!$F81)</f>
        <v/>
      </c>
      <c r="D81" s="41" t="str">
        <f aca="false">IF(Jobs!$A81="","",Jobs!$P81)</f>
        <v/>
      </c>
      <c r="E81" s="41" t="str">
        <f aca="false">IF(Jobs!$A81="","",Jobs!$S81)</f>
        <v/>
      </c>
      <c r="F81" s="42" t="str">
        <f aca="false">IF(Jobs!$A81="","",Jobs!$T81)</f>
        <v/>
      </c>
      <c r="G81" s="42" t="str">
        <f aca="false">IF(Jobs!$A81="","",Jobs!$U81)</f>
        <v/>
      </c>
      <c r="H81" s="42" t="str">
        <f aca="false">IF(Jobs!$A81="","",Jobs!$V81)</f>
        <v/>
      </c>
      <c r="I81" s="42" t="str">
        <f aca="false">IF(Jobs!$A81="","",Jobs!$X81)</f>
        <v/>
      </c>
      <c r="J81" s="42" t="str">
        <f aca="false">IF(Jobs!$A81="","",Jobs!$Y81)</f>
        <v/>
      </c>
      <c r="K81" s="42" t="str">
        <f aca="false">IF(Jobs!$A81="","",Jobs!$Z81)</f>
        <v/>
      </c>
      <c r="L81" s="41" t="str">
        <f aca="false">IF(Jobs!$A81="","",IF(Jobs!$Z81&lt;&gt;"","Rejected",IF(Jobs!$Y81&lt;&gt;"","Offer",IF(Jobs!$X81&lt;&gt;"","Interview",IF(Jobs!$V81&lt;&gt;"","Responded",IF(Jobs!$U81&lt;&gt;"","Contacted",IF(Jobs!$T81&lt;&gt;"","Applied","Not applied yet")))))))</f>
        <v/>
      </c>
      <c r="M81" s="41" t="str">
        <f aca="false">IF(Jobs!$A81="","",Jobs!$AB81)</f>
        <v/>
      </c>
      <c r="N81" s="42" t="str">
        <f aca="false">IF(Jobs!$A81="","",Jobs!$AA81)</f>
        <v/>
      </c>
    </row>
    <row r="82" customFormat="false" ht="15" hidden="false" customHeight="false" outlineLevel="0" collapsed="false">
      <c r="A82" s="41" t="str">
        <f aca="false">IF(Jobs!$A82="","",Jobs!$A82)</f>
        <v/>
      </c>
      <c r="B82" s="13" t="str">
        <f aca="false">IF(Jobs!$A82="","",Jobs!$E82)</f>
        <v/>
      </c>
      <c r="C82" s="13" t="str">
        <f aca="false">IF(Jobs!$A82="","",Jobs!$F82)</f>
        <v/>
      </c>
      <c r="D82" s="41" t="str">
        <f aca="false">IF(Jobs!$A82="","",Jobs!$P82)</f>
        <v/>
      </c>
      <c r="E82" s="41" t="str">
        <f aca="false">IF(Jobs!$A82="","",Jobs!$S82)</f>
        <v/>
      </c>
      <c r="F82" s="42" t="str">
        <f aca="false">IF(Jobs!$A82="","",Jobs!$T82)</f>
        <v/>
      </c>
      <c r="G82" s="42" t="str">
        <f aca="false">IF(Jobs!$A82="","",Jobs!$U82)</f>
        <v/>
      </c>
      <c r="H82" s="42" t="str">
        <f aca="false">IF(Jobs!$A82="","",Jobs!$V82)</f>
        <v/>
      </c>
      <c r="I82" s="42" t="str">
        <f aca="false">IF(Jobs!$A82="","",Jobs!$X82)</f>
        <v/>
      </c>
      <c r="J82" s="42" t="str">
        <f aca="false">IF(Jobs!$A82="","",Jobs!$Y82)</f>
        <v/>
      </c>
      <c r="K82" s="42" t="str">
        <f aca="false">IF(Jobs!$A82="","",Jobs!$Z82)</f>
        <v/>
      </c>
      <c r="L82" s="41" t="str">
        <f aca="false">IF(Jobs!$A82="","",IF(Jobs!$Z82&lt;&gt;"","Rejected",IF(Jobs!$Y82&lt;&gt;"","Offer",IF(Jobs!$X82&lt;&gt;"","Interview",IF(Jobs!$V82&lt;&gt;"","Responded",IF(Jobs!$U82&lt;&gt;"","Contacted",IF(Jobs!$T82&lt;&gt;"","Applied","Not applied yet")))))))</f>
        <v/>
      </c>
      <c r="M82" s="41" t="str">
        <f aca="false">IF(Jobs!$A82="","",Jobs!$AB82)</f>
        <v/>
      </c>
      <c r="N82" s="42" t="str">
        <f aca="false">IF(Jobs!$A82="","",Jobs!$AA82)</f>
        <v/>
      </c>
    </row>
    <row r="83" customFormat="false" ht="15" hidden="false" customHeight="false" outlineLevel="0" collapsed="false">
      <c r="A83" s="41" t="str">
        <f aca="false">IF(Jobs!$A83="","",Jobs!$A83)</f>
        <v/>
      </c>
      <c r="B83" s="13" t="str">
        <f aca="false">IF(Jobs!$A83="","",Jobs!$E83)</f>
        <v/>
      </c>
      <c r="C83" s="13" t="str">
        <f aca="false">IF(Jobs!$A83="","",Jobs!$F83)</f>
        <v/>
      </c>
      <c r="D83" s="41" t="str">
        <f aca="false">IF(Jobs!$A83="","",Jobs!$P83)</f>
        <v/>
      </c>
      <c r="E83" s="41" t="str">
        <f aca="false">IF(Jobs!$A83="","",Jobs!$S83)</f>
        <v/>
      </c>
      <c r="F83" s="42" t="str">
        <f aca="false">IF(Jobs!$A83="","",Jobs!$T83)</f>
        <v/>
      </c>
      <c r="G83" s="42" t="str">
        <f aca="false">IF(Jobs!$A83="","",Jobs!$U83)</f>
        <v/>
      </c>
      <c r="H83" s="42" t="str">
        <f aca="false">IF(Jobs!$A83="","",Jobs!$V83)</f>
        <v/>
      </c>
      <c r="I83" s="42" t="str">
        <f aca="false">IF(Jobs!$A83="","",Jobs!$X83)</f>
        <v/>
      </c>
      <c r="J83" s="42" t="str">
        <f aca="false">IF(Jobs!$A83="","",Jobs!$Y83)</f>
        <v/>
      </c>
      <c r="K83" s="42" t="str">
        <f aca="false">IF(Jobs!$A83="","",Jobs!$Z83)</f>
        <v/>
      </c>
      <c r="L83" s="41" t="str">
        <f aca="false">IF(Jobs!$A83="","",IF(Jobs!$Z83&lt;&gt;"","Rejected",IF(Jobs!$Y83&lt;&gt;"","Offer",IF(Jobs!$X83&lt;&gt;"","Interview",IF(Jobs!$V83&lt;&gt;"","Responded",IF(Jobs!$U83&lt;&gt;"","Contacted",IF(Jobs!$T83&lt;&gt;"","Applied","Not applied yet")))))))</f>
        <v/>
      </c>
      <c r="M83" s="41" t="str">
        <f aca="false">IF(Jobs!$A83="","",Jobs!$AB83)</f>
        <v/>
      </c>
      <c r="N83" s="42" t="str">
        <f aca="false">IF(Jobs!$A83="","",Jobs!$AA83)</f>
        <v/>
      </c>
    </row>
    <row r="84" customFormat="false" ht="15" hidden="false" customHeight="false" outlineLevel="0" collapsed="false">
      <c r="A84" s="41" t="str">
        <f aca="false">IF(Jobs!$A84="","",Jobs!$A84)</f>
        <v/>
      </c>
      <c r="B84" s="13" t="str">
        <f aca="false">IF(Jobs!$A84="","",Jobs!$E84)</f>
        <v/>
      </c>
      <c r="C84" s="13" t="str">
        <f aca="false">IF(Jobs!$A84="","",Jobs!$F84)</f>
        <v/>
      </c>
      <c r="D84" s="41" t="str">
        <f aca="false">IF(Jobs!$A84="","",Jobs!$P84)</f>
        <v/>
      </c>
      <c r="E84" s="41" t="str">
        <f aca="false">IF(Jobs!$A84="","",Jobs!$S84)</f>
        <v/>
      </c>
      <c r="F84" s="42" t="str">
        <f aca="false">IF(Jobs!$A84="","",Jobs!$T84)</f>
        <v/>
      </c>
      <c r="G84" s="42" t="str">
        <f aca="false">IF(Jobs!$A84="","",Jobs!$U84)</f>
        <v/>
      </c>
      <c r="H84" s="42" t="str">
        <f aca="false">IF(Jobs!$A84="","",Jobs!$V84)</f>
        <v/>
      </c>
      <c r="I84" s="42" t="str">
        <f aca="false">IF(Jobs!$A84="","",Jobs!$X84)</f>
        <v/>
      </c>
      <c r="J84" s="42" t="str">
        <f aca="false">IF(Jobs!$A84="","",Jobs!$Y84)</f>
        <v/>
      </c>
      <c r="K84" s="42" t="str">
        <f aca="false">IF(Jobs!$A84="","",Jobs!$Z84)</f>
        <v/>
      </c>
      <c r="L84" s="41" t="str">
        <f aca="false">IF(Jobs!$A84="","",IF(Jobs!$Z84&lt;&gt;"","Rejected",IF(Jobs!$Y84&lt;&gt;"","Offer",IF(Jobs!$X84&lt;&gt;"","Interview",IF(Jobs!$V84&lt;&gt;"","Responded",IF(Jobs!$U84&lt;&gt;"","Contacted",IF(Jobs!$T84&lt;&gt;"","Applied","Not applied yet")))))))</f>
        <v/>
      </c>
      <c r="M84" s="41" t="str">
        <f aca="false">IF(Jobs!$A84="","",Jobs!$AB84)</f>
        <v/>
      </c>
      <c r="N84" s="42" t="str">
        <f aca="false">IF(Jobs!$A84="","",Jobs!$AA84)</f>
        <v/>
      </c>
    </row>
    <row r="85" customFormat="false" ht="15" hidden="false" customHeight="false" outlineLevel="0" collapsed="false">
      <c r="A85" s="41" t="str">
        <f aca="false">IF(Jobs!$A85="","",Jobs!$A85)</f>
        <v/>
      </c>
      <c r="B85" s="13" t="str">
        <f aca="false">IF(Jobs!$A85="","",Jobs!$E85)</f>
        <v/>
      </c>
      <c r="C85" s="13" t="str">
        <f aca="false">IF(Jobs!$A85="","",Jobs!$F85)</f>
        <v/>
      </c>
      <c r="D85" s="41" t="str">
        <f aca="false">IF(Jobs!$A85="","",Jobs!$P85)</f>
        <v/>
      </c>
      <c r="E85" s="41" t="str">
        <f aca="false">IF(Jobs!$A85="","",Jobs!$S85)</f>
        <v/>
      </c>
      <c r="F85" s="42" t="str">
        <f aca="false">IF(Jobs!$A85="","",Jobs!$T85)</f>
        <v/>
      </c>
      <c r="G85" s="42" t="str">
        <f aca="false">IF(Jobs!$A85="","",Jobs!$U85)</f>
        <v/>
      </c>
      <c r="H85" s="42" t="str">
        <f aca="false">IF(Jobs!$A85="","",Jobs!$V85)</f>
        <v/>
      </c>
      <c r="I85" s="42" t="str">
        <f aca="false">IF(Jobs!$A85="","",Jobs!$X85)</f>
        <v/>
      </c>
      <c r="J85" s="42" t="str">
        <f aca="false">IF(Jobs!$A85="","",Jobs!$Y85)</f>
        <v/>
      </c>
      <c r="K85" s="42" t="str">
        <f aca="false">IF(Jobs!$A85="","",Jobs!$Z85)</f>
        <v/>
      </c>
      <c r="L85" s="41" t="str">
        <f aca="false">IF(Jobs!$A85="","",IF(Jobs!$Z85&lt;&gt;"","Rejected",IF(Jobs!$Y85&lt;&gt;"","Offer",IF(Jobs!$X85&lt;&gt;"","Interview",IF(Jobs!$V85&lt;&gt;"","Responded",IF(Jobs!$U85&lt;&gt;"","Contacted",IF(Jobs!$T85&lt;&gt;"","Applied","Not applied yet")))))))</f>
        <v/>
      </c>
      <c r="M85" s="41" t="str">
        <f aca="false">IF(Jobs!$A85="","",Jobs!$AB85)</f>
        <v/>
      </c>
      <c r="N85" s="42" t="str">
        <f aca="false">IF(Jobs!$A85="","",Jobs!$AA85)</f>
        <v/>
      </c>
    </row>
    <row r="86" customFormat="false" ht="15" hidden="false" customHeight="false" outlineLevel="0" collapsed="false">
      <c r="A86" s="41" t="str">
        <f aca="false">IF(Jobs!$A86="","",Jobs!$A86)</f>
        <v/>
      </c>
      <c r="B86" s="13" t="str">
        <f aca="false">IF(Jobs!$A86="","",Jobs!$E86)</f>
        <v/>
      </c>
      <c r="C86" s="13" t="str">
        <f aca="false">IF(Jobs!$A86="","",Jobs!$F86)</f>
        <v/>
      </c>
      <c r="D86" s="41" t="str">
        <f aca="false">IF(Jobs!$A86="","",Jobs!$P86)</f>
        <v/>
      </c>
      <c r="E86" s="41" t="str">
        <f aca="false">IF(Jobs!$A86="","",Jobs!$S86)</f>
        <v/>
      </c>
      <c r="F86" s="42" t="str">
        <f aca="false">IF(Jobs!$A86="","",Jobs!$T86)</f>
        <v/>
      </c>
      <c r="G86" s="42" t="str">
        <f aca="false">IF(Jobs!$A86="","",Jobs!$U86)</f>
        <v/>
      </c>
      <c r="H86" s="42" t="str">
        <f aca="false">IF(Jobs!$A86="","",Jobs!$V86)</f>
        <v/>
      </c>
      <c r="I86" s="42" t="str">
        <f aca="false">IF(Jobs!$A86="","",Jobs!$X86)</f>
        <v/>
      </c>
      <c r="J86" s="42" t="str">
        <f aca="false">IF(Jobs!$A86="","",Jobs!$Y86)</f>
        <v/>
      </c>
      <c r="K86" s="42" t="str">
        <f aca="false">IF(Jobs!$A86="","",Jobs!$Z86)</f>
        <v/>
      </c>
      <c r="L86" s="41" t="str">
        <f aca="false">IF(Jobs!$A86="","",IF(Jobs!$Z86&lt;&gt;"","Rejected",IF(Jobs!$Y86&lt;&gt;"","Offer",IF(Jobs!$X86&lt;&gt;"","Interview",IF(Jobs!$V86&lt;&gt;"","Responded",IF(Jobs!$U86&lt;&gt;"","Contacted",IF(Jobs!$T86&lt;&gt;"","Applied","Not applied yet")))))))</f>
        <v/>
      </c>
      <c r="M86" s="41" t="str">
        <f aca="false">IF(Jobs!$A86="","",Jobs!$AB86)</f>
        <v/>
      </c>
      <c r="N86" s="42" t="str">
        <f aca="false">IF(Jobs!$A86="","",Jobs!$AA86)</f>
        <v/>
      </c>
    </row>
    <row r="87" customFormat="false" ht="15" hidden="false" customHeight="false" outlineLevel="0" collapsed="false">
      <c r="A87" s="41" t="str">
        <f aca="false">IF(Jobs!$A87="","",Jobs!$A87)</f>
        <v/>
      </c>
      <c r="B87" s="13" t="str">
        <f aca="false">IF(Jobs!$A87="","",Jobs!$E87)</f>
        <v/>
      </c>
      <c r="C87" s="13" t="str">
        <f aca="false">IF(Jobs!$A87="","",Jobs!$F87)</f>
        <v/>
      </c>
      <c r="D87" s="41" t="str">
        <f aca="false">IF(Jobs!$A87="","",Jobs!$P87)</f>
        <v/>
      </c>
      <c r="E87" s="41" t="str">
        <f aca="false">IF(Jobs!$A87="","",Jobs!$S87)</f>
        <v/>
      </c>
      <c r="F87" s="42" t="str">
        <f aca="false">IF(Jobs!$A87="","",Jobs!$T87)</f>
        <v/>
      </c>
      <c r="G87" s="42" t="str">
        <f aca="false">IF(Jobs!$A87="","",Jobs!$U87)</f>
        <v/>
      </c>
      <c r="H87" s="42" t="str">
        <f aca="false">IF(Jobs!$A87="","",Jobs!$V87)</f>
        <v/>
      </c>
      <c r="I87" s="42" t="str">
        <f aca="false">IF(Jobs!$A87="","",Jobs!$X87)</f>
        <v/>
      </c>
      <c r="J87" s="42" t="str">
        <f aca="false">IF(Jobs!$A87="","",Jobs!$Y87)</f>
        <v/>
      </c>
      <c r="K87" s="42" t="str">
        <f aca="false">IF(Jobs!$A87="","",Jobs!$Z87)</f>
        <v/>
      </c>
      <c r="L87" s="41" t="str">
        <f aca="false">IF(Jobs!$A87="","",IF(Jobs!$Z87&lt;&gt;"","Rejected",IF(Jobs!$Y87&lt;&gt;"","Offer",IF(Jobs!$X87&lt;&gt;"","Interview",IF(Jobs!$V87&lt;&gt;"","Responded",IF(Jobs!$U87&lt;&gt;"","Contacted",IF(Jobs!$T87&lt;&gt;"","Applied","Not applied yet")))))))</f>
        <v/>
      </c>
      <c r="M87" s="41" t="str">
        <f aca="false">IF(Jobs!$A87="","",Jobs!$AB87)</f>
        <v/>
      </c>
      <c r="N87" s="42" t="str">
        <f aca="false">IF(Jobs!$A87="","",Jobs!$AA87)</f>
        <v/>
      </c>
    </row>
    <row r="88" customFormat="false" ht="15" hidden="false" customHeight="false" outlineLevel="0" collapsed="false">
      <c r="A88" s="41" t="str">
        <f aca="false">IF(Jobs!$A88="","",Jobs!$A88)</f>
        <v/>
      </c>
      <c r="B88" s="13" t="str">
        <f aca="false">IF(Jobs!$A88="","",Jobs!$E88)</f>
        <v/>
      </c>
      <c r="C88" s="13" t="str">
        <f aca="false">IF(Jobs!$A88="","",Jobs!$F88)</f>
        <v/>
      </c>
      <c r="D88" s="41" t="str">
        <f aca="false">IF(Jobs!$A88="","",Jobs!$P88)</f>
        <v/>
      </c>
      <c r="E88" s="41" t="str">
        <f aca="false">IF(Jobs!$A88="","",Jobs!$S88)</f>
        <v/>
      </c>
      <c r="F88" s="42" t="str">
        <f aca="false">IF(Jobs!$A88="","",Jobs!$T88)</f>
        <v/>
      </c>
      <c r="G88" s="42" t="str">
        <f aca="false">IF(Jobs!$A88="","",Jobs!$U88)</f>
        <v/>
      </c>
      <c r="H88" s="42" t="str">
        <f aca="false">IF(Jobs!$A88="","",Jobs!$V88)</f>
        <v/>
      </c>
      <c r="I88" s="42" t="str">
        <f aca="false">IF(Jobs!$A88="","",Jobs!$X88)</f>
        <v/>
      </c>
      <c r="J88" s="42" t="str">
        <f aca="false">IF(Jobs!$A88="","",Jobs!$Y88)</f>
        <v/>
      </c>
      <c r="K88" s="42" t="str">
        <f aca="false">IF(Jobs!$A88="","",Jobs!$Z88)</f>
        <v/>
      </c>
      <c r="L88" s="41" t="str">
        <f aca="false">IF(Jobs!$A88="","",IF(Jobs!$Z88&lt;&gt;"","Rejected",IF(Jobs!$Y88&lt;&gt;"","Offer",IF(Jobs!$X88&lt;&gt;"","Interview",IF(Jobs!$V88&lt;&gt;"","Responded",IF(Jobs!$U88&lt;&gt;"","Contacted",IF(Jobs!$T88&lt;&gt;"","Applied","Not applied yet")))))))</f>
        <v/>
      </c>
      <c r="M88" s="41" t="str">
        <f aca="false">IF(Jobs!$A88="","",Jobs!$AB88)</f>
        <v/>
      </c>
      <c r="N88" s="42" t="str">
        <f aca="false">IF(Jobs!$A88="","",Jobs!$AA88)</f>
        <v/>
      </c>
    </row>
    <row r="89" customFormat="false" ht="15" hidden="false" customHeight="false" outlineLevel="0" collapsed="false">
      <c r="A89" s="41" t="str">
        <f aca="false">IF(Jobs!$A89="","",Jobs!$A89)</f>
        <v/>
      </c>
      <c r="B89" s="13" t="str">
        <f aca="false">IF(Jobs!$A89="","",Jobs!$E89)</f>
        <v/>
      </c>
      <c r="C89" s="13" t="str">
        <f aca="false">IF(Jobs!$A89="","",Jobs!$F89)</f>
        <v/>
      </c>
      <c r="D89" s="41" t="str">
        <f aca="false">IF(Jobs!$A89="","",Jobs!$P89)</f>
        <v/>
      </c>
      <c r="E89" s="41" t="str">
        <f aca="false">IF(Jobs!$A89="","",Jobs!$S89)</f>
        <v/>
      </c>
      <c r="F89" s="42" t="str">
        <f aca="false">IF(Jobs!$A89="","",Jobs!$T89)</f>
        <v/>
      </c>
      <c r="G89" s="42" t="str">
        <f aca="false">IF(Jobs!$A89="","",Jobs!$U89)</f>
        <v/>
      </c>
      <c r="H89" s="42" t="str">
        <f aca="false">IF(Jobs!$A89="","",Jobs!$V89)</f>
        <v/>
      </c>
      <c r="I89" s="42" t="str">
        <f aca="false">IF(Jobs!$A89="","",Jobs!$X89)</f>
        <v/>
      </c>
      <c r="J89" s="42" t="str">
        <f aca="false">IF(Jobs!$A89="","",Jobs!$Y89)</f>
        <v/>
      </c>
      <c r="K89" s="42" t="str">
        <f aca="false">IF(Jobs!$A89="","",Jobs!$Z89)</f>
        <v/>
      </c>
      <c r="L89" s="41" t="str">
        <f aca="false">IF(Jobs!$A89="","",IF(Jobs!$Z89&lt;&gt;"","Rejected",IF(Jobs!$Y89&lt;&gt;"","Offer",IF(Jobs!$X89&lt;&gt;"","Interview",IF(Jobs!$V89&lt;&gt;"","Responded",IF(Jobs!$U89&lt;&gt;"","Contacted",IF(Jobs!$T89&lt;&gt;"","Applied","Not applied yet")))))))</f>
        <v/>
      </c>
      <c r="M89" s="41" t="str">
        <f aca="false">IF(Jobs!$A89="","",Jobs!$AB89)</f>
        <v/>
      </c>
      <c r="N89" s="42" t="str">
        <f aca="false">IF(Jobs!$A89="","",Jobs!$AA89)</f>
        <v/>
      </c>
    </row>
    <row r="90" customFormat="false" ht="15" hidden="false" customHeight="false" outlineLevel="0" collapsed="false">
      <c r="A90" s="41" t="str">
        <f aca="false">IF(Jobs!$A90="","",Jobs!$A90)</f>
        <v/>
      </c>
      <c r="B90" s="13" t="str">
        <f aca="false">IF(Jobs!$A90="","",Jobs!$E90)</f>
        <v/>
      </c>
      <c r="C90" s="13" t="str">
        <f aca="false">IF(Jobs!$A90="","",Jobs!$F90)</f>
        <v/>
      </c>
      <c r="D90" s="41" t="str">
        <f aca="false">IF(Jobs!$A90="","",Jobs!$P90)</f>
        <v/>
      </c>
      <c r="E90" s="41" t="str">
        <f aca="false">IF(Jobs!$A90="","",Jobs!$S90)</f>
        <v/>
      </c>
      <c r="F90" s="42" t="str">
        <f aca="false">IF(Jobs!$A90="","",Jobs!$T90)</f>
        <v/>
      </c>
      <c r="G90" s="42" t="str">
        <f aca="false">IF(Jobs!$A90="","",Jobs!$U90)</f>
        <v/>
      </c>
      <c r="H90" s="42" t="str">
        <f aca="false">IF(Jobs!$A90="","",Jobs!$V90)</f>
        <v/>
      </c>
      <c r="I90" s="42" t="str">
        <f aca="false">IF(Jobs!$A90="","",Jobs!$X90)</f>
        <v/>
      </c>
      <c r="J90" s="42" t="str">
        <f aca="false">IF(Jobs!$A90="","",Jobs!$Y90)</f>
        <v/>
      </c>
      <c r="K90" s="42" t="str">
        <f aca="false">IF(Jobs!$A90="","",Jobs!$Z90)</f>
        <v/>
      </c>
      <c r="L90" s="41" t="str">
        <f aca="false">IF(Jobs!$A90="","",IF(Jobs!$Z90&lt;&gt;"","Rejected",IF(Jobs!$Y90&lt;&gt;"","Offer",IF(Jobs!$X90&lt;&gt;"","Interview",IF(Jobs!$V90&lt;&gt;"","Responded",IF(Jobs!$U90&lt;&gt;"","Contacted",IF(Jobs!$T90&lt;&gt;"","Applied","Not applied yet")))))))</f>
        <v/>
      </c>
      <c r="M90" s="41" t="str">
        <f aca="false">IF(Jobs!$A90="","",Jobs!$AB90)</f>
        <v/>
      </c>
      <c r="N90" s="42" t="str">
        <f aca="false">IF(Jobs!$A90="","",Jobs!$AA90)</f>
        <v/>
      </c>
    </row>
    <row r="91" customFormat="false" ht="15" hidden="false" customHeight="false" outlineLevel="0" collapsed="false">
      <c r="A91" s="41" t="str">
        <f aca="false">IF(Jobs!$A91="","",Jobs!$A91)</f>
        <v/>
      </c>
      <c r="B91" s="13" t="str">
        <f aca="false">IF(Jobs!$A91="","",Jobs!$E91)</f>
        <v/>
      </c>
      <c r="C91" s="13" t="str">
        <f aca="false">IF(Jobs!$A91="","",Jobs!$F91)</f>
        <v/>
      </c>
      <c r="D91" s="41" t="str">
        <f aca="false">IF(Jobs!$A91="","",Jobs!$P91)</f>
        <v/>
      </c>
      <c r="E91" s="41" t="str">
        <f aca="false">IF(Jobs!$A91="","",Jobs!$S91)</f>
        <v/>
      </c>
      <c r="F91" s="42" t="str">
        <f aca="false">IF(Jobs!$A91="","",Jobs!$T91)</f>
        <v/>
      </c>
      <c r="G91" s="42" t="str">
        <f aca="false">IF(Jobs!$A91="","",Jobs!$U91)</f>
        <v/>
      </c>
      <c r="H91" s="42" t="str">
        <f aca="false">IF(Jobs!$A91="","",Jobs!$V91)</f>
        <v/>
      </c>
      <c r="I91" s="42" t="str">
        <f aca="false">IF(Jobs!$A91="","",Jobs!$X91)</f>
        <v/>
      </c>
      <c r="J91" s="42" t="str">
        <f aca="false">IF(Jobs!$A91="","",Jobs!$Y91)</f>
        <v/>
      </c>
      <c r="K91" s="42" t="str">
        <f aca="false">IF(Jobs!$A91="","",Jobs!$Z91)</f>
        <v/>
      </c>
      <c r="L91" s="41" t="str">
        <f aca="false">IF(Jobs!$A91="","",IF(Jobs!$Z91&lt;&gt;"","Rejected",IF(Jobs!$Y91&lt;&gt;"","Offer",IF(Jobs!$X91&lt;&gt;"","Interview",IF(Jobs!$V91&lt;&gt;"","Responded",IF(Jobs!$U91&lt;&gt;"","Contacted",IF(Jobs!$T91&lt;&gt;"","Applied","Not applied yet")))))))</f>
        <v/>
      </c>
      <c r="M91" s="41" t="str">
        <f aca="false">IF(Jobs!$A91="","",Jobs!$AB91)</f>
        <v/>
      </c>
      <c r="N91" s="42" t="str">
        <f aca="false">IF(Jobs!$A91="","",Jobs!$AA91)</f>
        <v/>
      </c>
    </row>
    <row r="92" customFormat="false" ht="15" hidden="false" customHeight="false" outlineLevel="0" collapsed="false">
      <c r="A92" s="41" t="str">
        <f aca="false">IF(Jobs!$A92="","",Jobs!$A92)</f>
        <v/>
      </c>
      <c r="B92" s="13" t="str">
        <f aca="false">IF(Jobs!$A92="","",Jobs!$E92)</f>
        <v/>
      </c>
      <c r="C92" s="13" t="str">
        <f aca="false">IF(Jobs!$A92="","",Jobs!$F92)</f>
        <v/>
      </c>
      <c r="D92" s="41" t="str">
        <f aca="false">IF(Jobs!$A92="","",Jobs!$P92)</f>
        <v/>
      </c>
      <c r="E92" s="41" t="str">
        <f aca="false">IF(Jobs!$A92="","",Jobs!$S92)</f>
        <v/>
      </c>
      <c r="F92" s="42" t="str">
        <f aca="false">IF(Jobs!$A92="","",Jobs!$T92)</f>
        <v/>
      </c>
      <c r="G92" s="42" t="str">
        <f aca="false">IF(Jobs!$A92="","",Jobs!$U92)</f>
        <v/>
      </c>
      <c r="H92" s="42" t="str">
        <f aca="false">IF(Jobs!$A92="","",Jobs!$V92)</f>
        <v/>
      </c>
      <c r="I92" s="42" t="str">
        <f aca="false">IF(Jobs!$A92="","",Jobs!$X92)</f>
        <v/>
      </c>
      <c r="J92" s="42" t="str">
        <f aca="false">IF(Jobs!$A92="","",Jobs!$Y92)</f>
        <v/>
      </c>
      <c r="K92" s="42" t="str">
        <f aca="false">IF(Jobs!$A92="","",Jobs!$Z92)</f>
        <v/>
      </c>
      <c r="L92" s="41" t="str">
        <f aca="false">IF(Jobs!$A92="","",IF(Jobs!$Z92&lt;&gt;"","Rejected",IF(Jobs!$Y92&lt;&gt;"","Offer",IF(Jobs!$X92&lt;&gt;"","Interview",IF(Jobs!$V92&lt;&gt;"","Responded",IF(Jobs!$U92&lt;&gt;"","Contacted",IF(Jobs!$T92&lt;&gt;"","Applied","Not applied yet")))))))</f>
        <v/>
      </c>
      <c r="M92" s="41" t="str">
        <f aca="false">IF(Jobs!$A92="","",Jobs!$AB92)</f>
        <v/>
      </c>
      <c r="N92" s="42" t="str">
        <f aca="false">IF(Jobs!$A92="","",Jobs!$AA92)</f>
        <v/>
      </c>
    </row>
    <row r="93" customFormat="false" ht="15" hidden="false" customHeight="false" outlineLevel="0" collapsed="false">
      <c r="A93" s="41" t="str">
        <f aca="false">IF(Jobs!$A93="","",Jobs!$A93)</f>
        <v/>
      </c>
      <c r="B93" s="13" t="str">
        <f aca="false">IF(Jobs!$A93="","",Jobs!$E93)</f>
        <v/>
      </c>
      <c r="C93" s="13" t="str">
        <f aca="false">IF(Jobs!$A93="","",Jobs!$F93)</f>
        <v/>
      </c>
      <c r="D93" s="41" t="str">
        <f aca="false">IF(Jobs!$A93="","",Jobs!$P93)</f>
        <v/>
      </c>
      <c r="E93" s="41" t="str">
        <f aca="false">IF(Jobs!$A93="","",Jobs!$S93)</f>
        <v/>
      </c>
      <c r="F93" s="42" t="str">
        <f aca="false">IF(Jobs!$A93="","",Jobs!$T93)</f>
        <v/>
      </c>
      <c r="G93" s="42" t="str">
        <f aca="false">IF(Jobs!$A93="","",Jobs!$U93)</f>
        <v/>
      </c>
      <c r="H93" s="42" t="str">
        <f aca="false">IF(Jobs!$A93="","",Jobs!$V93)</f>
        <v/>
      </c>
      <c r="I93" s="42" t="str">
        <f aca="false">IF(Jobs!$A93="","",Jobs!$X93)</f>
        <v/>
      </c>
      <c r="J93" s="42" t="str">
        <f aca="false">IF(Jobs!$A93="","",Jobs!$Y93)</f>
        <v/>
      </c>
      <c r="K93" s="42" t="str">
        <f aca="false">IF(Jobs!$A93="","",Jobs!$Z93)</f>
        <v/>
      </c>
      <c r="L93" s="41" t="str">
        <f aca="false">IF(Jobs!$A93="","",IF(Jobs!$Z93&lt;&gt;"","Rejected",IF(Jobs!$Y93&lt;&gt;"","Offer",IF(Jobs!$X93&lt;&gt;"","Interview",IF(Jobs!$V93&lt;&gt;"","Responded",IF(Jobs!$U93&lt;&gt;"","Contacted",IF(Jobs!$T93&lt;&gt;"","Applied","Not applied yet")))))))</f>
        <v/>
      </c>
      <c r="M93" s="41" t="str">
        <f aca="false">IF(Jobs!$A93="","",Jobs!$AB93)</f>
        <v/>
      </c>
      <c r="N93" s="42" t="str">
        <f aca="false">IF(Jobs!$A93="","",Jobs!$AA93)</f>
        <v/>
      </c>
    </row>
    <row r="94" customFormat="false" ht="15" hidden="false" customHeight="false" outlineLevel="0" collapsed="false">
      <c r="A94" s="41" t="str">
        <f aca="false">IF(Jobs!$A94="","",Jobs!$A94)</f>
        <v/>
      </c>
      <c r="B94" s="13" t="str">
        <f aca="false">IF(Jobs!$A94="","",Jobs!$E94)</f>
        <v/>
      </c>
      <c r="C94" s="13" t="str">
        <f aca="false">IF(Jobs!$A94="","",Jobs!$F94)</f>
        <v/>
      </c>
      <c r="D94" s="41" t="str">
        <f aca="false">IF(Jobs!$A94="","",Jobs!$P94)</f>
        <v/>
      </c>
      <c r="E94" s="41" t="str">
        <f aca="false">IF(Jobs!$A94="","",Jobs!$S94)</f>
        <v/>
      </c>
      <c r="F94" s="42" t="str">
        <f aca="false">IF(Jobs!$A94="","",Jobs!$T94)</f>
        <v/>
      </c>
      <c r="G94" s="42" t="str">
        <f aca="false">IF(Jobs!$A94="","",Jobs!$U94)</f>
        <v/>
      </c>
      <c r="H94" s="42" t="str">
        <f aca="false">IF(Jobs!$A94="","",Jobs!$V94)</f>
        <v/>
      </c>
      <c r="I94" s="42" t="str">
        <f aca="false">IF(Jobs!$A94="","",Jobs!$X94)</f>
        <v/>
      </c>
      <c r="J94" s="42" t="str">
        <f aca="false">IF(Jobs!$A94="","",Jobs!$Y94)</f>
        <v/>
      </c>
      <c r="K94" s="42" t="str">
        <f aca="false">IF(Jobs!$A94="","",Jobs!$Z94)</f>
        <v/>
      </c>
      <c r="L94" s="41" t="str">
        <f aca="false">IF(Jobs!$A94="","",IF(Jobs!$Z94&lt;&gt;"","Rejected",IF(Jobs!$Y94&lt;&gt;"","Offer",IF(Jobs!$X94&lt;&gt;"","Interview",IF(Jobs!$V94&lt;&gt;"","Responded",IF(Jobs!$U94&lt;&gt;"","Contacted",IF(Jobs!$T94&lt;&gt;"","Applied","Not applied yet")))))))</f>
        <v/>
      </c>
      <c r="M94" s="41" t="str">
        <f aca="false">IF(Jobs!$A94="","",Jobs!$AB94)</f>
        <v/>
      </c>
      <c r="N94" s="42" t="str">
        <f aca="false">IF(Jobs!$A94="","",Jobs!$AA94)</f>
        <v/>
      </c>
    </row>
    <row r="95" customFormat="false" ht="15" hidden="false" customHeight="false" outlineLevel="0" collapsed="false">
      <c r="A95" s="41" t="str">
        <f aca="false">IF(Jobs!$A95="","",Jobs!$A95)</f>
        <v/>
      </c>
      <c r="B95" s="13" t="str">
        <f aca="false">IF(Jobs!$A95="","",Jobs!$E95)</f>
        <v/>
      </c>
      <c r="C95" s="13" t="str">
        <f aca="false">IF(Jobs!$A95="","",Jobs!$F95)</f>
        <v/>
      </c>
      <c r="D95" s="41" t="str">
        <f aca="false">IF(Jobs!$A95="","",Jobs!$P95)</f>
        <v/>
      </c>
      <c r="E95" s="41" t="str">
        <f aca="false">IF(Jobs!$A95="","",Jobs!$S95)</f>
        <v/>
      </c>
      <c r="F95" s="42" t="str">
        <f aca="false">IF(Jobs!$A95="","",Jobs!$T95)</f>
        <v/>
      </c>
      <c r="G95" s="42" t="str">
        <f aca="false">IF(Jobs!$A95="","",Jobs!$U95)</f>
        <v/>
      </c>
      <c r="H95" s="42" t="str">
        <f aca="false">IF(Jobs!$A95="","",Jobs!$V95)</f>
        <v/>
      </c>
      <c r="I95" s="42" t="str">
        <f aca="false">IF(Jobs!$A95="","",Jobs!$X95)</f>
        <v/>
      </c>
      <c r="J95" s="42" t="str">
        <f aca="false">IF(Jobs!$A95="","",Jobs!$Y95)</f>
        <v/>
      </c>
      <c r="K95" s="42" t="str">
        <f aca="false">IF(Jobs!$A95="","",Jobs!$Z95)</f>
        <v/>
      </c>
      <c r="L95" s="41" t="str">
        <f aca="false">IF(Jobs!$A95="","",IF(Jobs!$Z95&lt;&gt;"","Rejected",IF(Jobs!$Y95&lt;&gt;"","Offer",IF(Jobs!$X95&lt;&gt;"","Interview",IF(Jobs!$V95&lt;&gt;"","Responded",IF(Jobs!$U95&lt;&gt;"","Contacted",IF(Jobs!$T95&lt;&gt;"","Applied","Not applied yet")))))))</f>
        <v/>
      </c>
      <c r="M95" s="41" t="str">
        <f aca="false">IF(Jobs!$A95="","",Jobs!$AB95)</f>
        <v/>
      </c>
      <c r="N95" s="42" t="str">
        <f aca="false">IF(Jobs!$A95="","",Jobs!$AA95)</f>
        <v/>
      </c>
    </row>
    <row r="96" customFormat="false" ht="15" hidden="false" customHeight="false" outlineLevel="0" collapsed="false">
      <c r="A96" s="41" t="str">
        <f aca="false">IF(Jobs!$A96="","",Jobs!$A96)</f>
        <v/>
      </c>
      <c r="B96" s="13" t="str">
        <f aca="false">IF(Jobs!$A96="","",Jobs!$E96)</f>
        <v/>
      </c>
      <c r="C96" s="13" t="str">
        <f aca="false">IF(Jobs!$A96="","",Jobs!$F96)</f>
        <v/>
      </c>
      <c r="D96" s="41" t="str">
        <f aca="false">IF(Jobs!$A96="","",Jobs!$P96)</f>
        <v/>
      </c>
      <c r="E96" s="41" t="str">
        <f aca="false">IF(Jobs!$A96="","",Jobs!$S96)</f>
        <v/>
      </c>
      <c r="F96" s="42" t="str">
        <f aca="false">IF(Jobs!$A96="","",Jobs!$T96)</f>
        <v/>
      </c>
      <c r="G96" s="42" t="str">
        <f aca="false">IF(Jobs!$A96="","",Jobs!$U96)</f>
        <v/>
      </c>
      <c r="H96" s="42" t="str">
        <f aca="false">IF(Jobs!$A96="","",Jobs!$V96)</f>
        <v/>
      </c>
      <c r="I96" s="42" t="str">
        <f aca="false">IF(Jobs!$A96="","",Jobs!$X96)</f>
        <v/>
      </c>
      <c r="J96" s="42" t="str">
        <f aca="false">IF(Jobs!$A96="","",Jobs!$Y96)</f>
        <v/>
      </c>
      <c r="K96" s="42" t="str">
        <f aca="false">IF(Jobs!$A96="","",Jobs!$Z96)</f>
        <v/>
      </c>
      <c r="L96" s="41" t="str">
        <f aca="false">IF(Jobs!$A96="","",IF(Jobs!$Z96&lt;&gt;"","Rejected",IF(Jobs!$Y96&lt;&gt;"","Offer",IF(Jobs!$X96&lt;&gt;"","Interview",IF(Jobs!$V96&lt;&gt;"","Responded",IF(Jobs!$U96&lt;&gt;"","Contacted",IF(Jobs!$T96&lt;&gt;"","Applied","Not applied yet")))))))</f>
        <v/>
      </c>
      <c r="M96" s="41" t="str">
        <f aca="false">IF(Jobs!$A96="","",Jobs!$AB96)</f>
        <v/>
      </c>
      <c r="N96" s="42" t="str">
        <f aca="false">IF(Jobs!$A96="","",Jobs!$AA96)</f>
        <v/>
      </c>
    </row>
    <row r="97" customFormat="false" ht="15" hidden="false" customHeight="false" outlineLevel="0" collapsed="false">
      <c r="A97" s="41" t="str">
        <f aca="false">IF(Jobs!$A97="","",Jobs!$A97)</f>
        <v/>
      </c>
      <c r="B97" s="13" t="str">
        <f aca="false">IF(Jobs!$A97="","",Jobs!$E97)</f>
        <v/>
      </c>
      <c r="C97" s="13" t="str">
        <f aca="false">IF(Jobs!$A97="","",Jobs!$F97)</f>
        <v/>
      </c>
      <c r="D97" s="41" t="str">
        <f aca="false">IF(Jobs!$A97="","",Jobs!$P97)</f>
        <v/>
      </c>
      <c r="E97" s="41" t="str">
        <f aca="false">IF(Jobs!$A97="","",Jobs!$S97)</f>
        <v/>
      </c>
      <c r="F97" s="42" t="str">
        <f aca="false">IF(Jobs!$A97="","",Jobs!$T97)</f>
        <v/>
      </c>
      <c r="G97" s="42" t="str">
        <f aca="false">IF(Jobs!$A97="","",Jobs!$U97)</f>
        <v/>
      </c>
      <c r="H97" s="42" t="str">
        <f aca="false">IF(Jobs!$A97="","",Jobs!$V97)</f>
        <v/>
      </c>
      <c r="I97" s="42" t="str">
        <f aca="false">IF(Jobs!$A97="","",Jobs!$X97)</f>
        <v/>
      </c>
      <c r="J97" s="42" t="str">
        <f aca="false">IF(Jobs!$A97="","",Jobs!$Y97)</f>
        <v/>
      </c>
      <c r="K97" s="42" t="str">
        <f aca="false">IF(Jobs!$A97="","",Jobs!$Z97)</f>
        <v/>
      </c>
      <c r="L97" s="41" t="str">
        <f aca="false">IF(Jobs!$A97="","",IF(Jobs!$Z97&lt;&gt;"","Rejected",IF(Jobs!$Y97&lt;&gt;"","Offer",IF(Jobs!$X97&lt;&gt;"","Interview",IF(Jobs!$V97&lt;&gt;"","Responded",IF(Jobs!$U97&lt;&gt;"","Contacted",IF(Jobs!$T97&lt;&gt;"","Applied","Not applied yet")))))))</f>
        <v/>
      </c>
      <c r="M97" s="41" t="str">
        <f aca="false">IF(Jobs!$A97="","",Jobs!$AB97)</f>
        <v/>
      </c>
      <c r="N97" s="42" t="str">
        <f aca="false">IF(Jobs!$A97="","",Jobs!$AA97)</f>
        <v/>
      </c>
    </row>
    <row r="98" customFormat="false" ht="15" hidden="false" customHeight="false" outlineLevel="0" collapsed="false">
      <c r="A98" s="41" t="str">
        <f aca="false">IF(Jobs!$A98="","",Jobs!$A98)</f>
        <v/>
      </c>
      <c r="B98" s="13" t="str">
        <f aca="false">IF(Jobs!$A98="","",Jobs!$E98)</f>
        <v/>
      </c>
      <c r="C98" s="13" t="str">
        <f aca="false">IF(Jobs!$A98="","",Jobs!$F98)</f>
        <v/>
      </c>
      <c r="D98" s="41" t="str">
        <f aca="false">IF(Jobs!$A98="","",Jobs!$P98)</f>
        <v/>
      </c>
      <c r="E98" s="41" t="str">
        <f aca="false">IF(Jobs!$A98="","",Jobs!$S98)</f>
        <v/>
      </c>
      <c r="F98" s="42" t="str">
        <f aca="false">IF(Jobs!$A98="","",Jobs!$T98)</f>
        <v/>
      </c>
      <c r="G98" s="42" t="str">
        <f aca="false">IF(Jobs!$A98="","",Jobs!$U98)</f>
        <v/>
      </c>
      <c r="H98" s="42" t="str">
        <f aca="false">IF(Jobs!$A98="","",Jobs!$V98)</f>
        <v/>
      </c>
      <c r="I98" s="42" t="str">
        <f aca="false">IF(Jobs!$A98="","",Jobs!$X98)</f>
        <v/>
      </c>
      <c r="J98" s="42" t="str">
        <f aca="false">IF(Jobs!$A98="","",Jobs!$Y98)</f>
        <v/>
      </c>
      <c r="K98" s="42" t="str">
        <f aca="false">IF(Jobs!$A98="","",Jobs!$Z98)</f>
        <v/>
      </c>
      <c r="L98" s="41" t="str">
        <f aca="false">IF(Jobs!$A98="","",IF(Jobs!$Z98&lt;&gt;"","Rejected",IF(Jobs!$Y98&lt;&gt;"","Offer",IF(Jobs!$X98&lt;&gt;"","Interview",IF(Jobs!$V98&lt;&gt;"","Responded",IF(Jobs!$U98&lt;&gt;"","Contacted",IF(Jobs!$T98&lt;&gt;"","Applied","Not applied yet")))))))</f>
        <v/>
      </c>
      <c r="M98" s="41" t="str">
        <f aca="false">IF(Jobs!$A98="","",Jobs!$AB98)</f>
        <v/>
      </c>
      <c r="N98" s="42" t="str">
        <f aca="false">IF(Jobs!$A98="","",Jobs!$AA98)</f>
        <v/>
      </c>
    </row>
    <row r="99" customFormat="false" ht="15" hidden="false" customHeight="false" outlineLevel="0" collapsed="false">
      <c r="A99" s="41" t="str">
        <f aca="false">IF(Jobs!$A99="","",Jobs!$A99)</f>
        <v/>
      </c>
      <c r="B99" s="13" t="str">
        <f aca="false">IF(Jobs!$A99="","",Jobs!$E99)</f>
        <v/>
      </c>
      <c r="C99" s="13" t="str">
        <f aca="false">IF(Jobs!$A99="","",Jobs!$F99)</f>
        <v/>
      </c>
      <c r="D99" s="41" t="str">
        <f aca="false">IF(Jobs!$A99="","",Jobs!$P99)</f>
        <v/>
      </c>
      <c r="E99" s="41" t="str">
        <f aca="false">IF(Jobs!$A99="","",Jobs!$S99)</f>
        <v/>
      </c>
      <c r="F99" s="42" t="str">
        <f aca="false">IF(Jobs!$A99="","",Jobs!$T99)</f>
        <v/>
      </c>
      <c r="G99" s="42" t="str">
        <f aca="false">IF(Jobs!$A99="","",Jobs!$U99)</f>
        <v/>
      </c>
      <c r="H99" s="42" t="str">
        <f aca="false">IF(Jobs!$A99="","",Jobs!$V99)</f>
        <v/>
      </c>
      <c r="I99" s="42" t="str">
        <f aca="false">IF(Jobs!$A99="","",Jobs!$X99)</f>
        <v/>
      </c>
      <c r="J99" s="42" t="str">
        <f aca="false">IF(Jobs!$A99="","",Jobs!$Y99)</f>
        <v/>
      </c>
      <c r="K99" s="42" t="str">
        <f aca="false">IF(Jobs!$A99="","",Jobs!$Z99)</f>
        <v/>
      </c>
      <c r="L99" s="41" t="str">
        <f aca="false">IF(Jobs!$A99="","",IF(Jobs!$Z99&lt;&gt;"","Rejected",IF(Jobs!$Y99&lt;&gt;"","Offer",IF(Jobs!$X99&lt;&gt;"","Interview",IF(Jobs!$V99&lt;&gt;"","Responded",IF(Jobs!$U99&lt;&gt;"","Contacted",IF(Jobs!$T99&lt;&gt;"","Applied","Not applied yet")))))))</f>
        <v/>
      </c>
      <c r="M99" s="41" t="str">
        <f aca="false">IF(Jobs!$A99="","",Jobs!$AB99)</f>
        <v/>
      </c>
      <c r="N99" s="42" t="str">
        <f aca="false">IF(Jobs!$A99="","",Jobs!$AA99)</f>
        <v/>
      </c>
    </row>
    <row r="100" customFormat="false" ht="15" hidden="false" customHeight="false" outlineLevel="0" collapsed="false">
      <c r="A100" s="41" t="str">
        <f aca="false">IF(Jobs!$A100="","",Jobs!$A100)</f>
        <v/>
      </c>
      <c r="B100" s="13" t="str">
        <f aca="false">IF(Jobs!$A100="","",Jobs!$E100)</f>
        <v/>
      </c>
      <c r="C100" s="13" t="str">
        <f aca="false">IF(Jobs!$A100="","",Jobs!$F100)</f>
        <v/>
      </c>
      <c r="D100" s="41" t="str">
        <f aca="false">IF(Jobs!$A100="","",Jobs!$P100)</f>
        <v/>
      </c>
      <c r="E100" s="41" t="str">
        <f aca="false">IF(Jobs!$A100="","",Jobs!$S100)</f>
        <v/>
      </c>
      <c r="F100" s="42" t="str">
        <f aca="false">IF(Jobs!$A100="","",Jobs!$T100)</f>
        <v/>
      </c>
      <c r="G100" s="42" t="str">
        <f aca="false">IF(Jobs!$A100="","",Jobs!$U100)</f>
        <v/>
      </c>
      <c r="H100" s="42" t="str">
        <f aca="false">IF(Jobs!$A100="","",Jobs!$V100)</f>
        <v/>
      </c>
      <c r="I100" s="42" t="str">
        <f aca="false">IF(Jobs!$A100="","",Jobs!$X100)</f>
        <v/>
      </c>
      <c r="J100" s="42" t="str">
        <f aca="false">IF(Jobs!$A100="","",Jobs!$Y100)</f>
        <v/>
      </c>
      <c r="K100" s="42" t="str">
        <f aca="false">IF(Jobs!$A100="","",Jobs!$Z100)</f>
        <v/>
      </c>
      <c r="L100" s="41" t="str">
        <f aca="false">IF(Jobs!$A100="","",IF(Jobs!$Z100&lt;&gt;"","Rejected",IF(Jobs!$Y100&lt;&gt;"","Offer",IF(Jobs!$X100&lt;&gt;"","Interview",IF(Jobs!$V100&lt;&gt;"","Responded",IF(Jobs!$U100&lt;&gt;"","Contacted",IF(Jobs!$T100&lt;&gt;"","Applied","Not applied yet")))))))</f>
        <v/>
      </c>
      <c r="M100" s="41" t="str">
        <f aca="false">IF(Jobs!$A100="","",Jobs!$AB100)</f>
        <v/>
      </c>
      <c r="N100" s="42" t="str">
        <f aca="false">IF(Jobs!$A100="","",Jobs!$AA100)</f>
        <v/>
      </c>
    </row>
    <row r="101" customFormat="false" ht="15" hidden="false" customHeight="false" outlineLevel="0" collapsed="false">
      <c r="A101" s="41" t="str">
        <f aca="false">IF(Jobs!$A101="","",Jobs!$A101)</f>
        <v/>
      </c>
      <c r="B101" s="13" t="str">
        <f aca="false">IF(Jobs!$A101="","",Jobs!$E101)</f>
        <v/>
      </c>
      <c r="C101" s="13" t="str">
        <f aca="false">IF(Jobs!$A101="","",Jobs!$F101)</f>
        <v/>
      </c>
      <c r="D101" s="41" t="str">
        <f aca="false">IF(Jobs!$A101="","",Jobs!$P101)</f>
        <v/>
      </c>
      <c r="E101" s="41" t="str">
        <f aca="false">IF(Jobs!$A101="","",Jobs!$S101)</f>
        <v/>
      </c>
      <c r="F101" s="42" t="str">
        <f aca="false">IF(Jobs!$A101="","",Jobs!$T101)</f>
        <v/>
      </c>
      <c r="G101" s="42" t="str">
        <f aca="false">IF(Jobs!$A101="","",Jobs!$U101)</f>
        <v/>
      </c>
      <c r="H101" s="42" t="str">
        <f aca="false">IF(Jobs!$A101="","",Jobs!$V101)</f>
        <v/>
      </c>
      <c r="I101" s="42" t="str">
        <f aca="false">IF(Jobs!$A101="","",Jobs!$X101)</f>
        <v/>
      </c>
      <c r="J101" s="42" t="str">
        <f aca="false">IF(Jobs!$A101="","",Jobs!$Y101)</f>
        <v/>
      </c>
      <c r="K101" s="42" t="str">
        <f aca="false">IF(Jobs!$A101="","",Jobs!$Z101)</f>
        <v/>
      </c>
      <c r="L101" s="41" t="str">
        <f aca="false">IF(Jobs!$A101="","",IF(Jobs!$Z101&lt;&gt;"","Rejected",IF(Jobs!$Y101&lt;&gt;"","Offer",IF(Jobs!$X101&lt;&gt;"","Interview",IF(Jobs!$V101&lt;&gt;"","Responded",IF(Jobs!$U101&lt;&gt;"","Contacted",IF(Jobs!$T101&lt;&gt;"","Applied","Not applied yet")))))))</f>
        <v/>
      </c>
      <c r="M101" s="41" t="str">
        <f aca="false">IF(Jobs!$A101="","",Jobs!$AB101)</f>
        <v/>
      </c>
      <c r="N101" s="42" t="str">
        <f aca="false">IF(Jobs!$A101="","",Jobs!$AA101)</f>
        <v/>
      </c>
    </row>
    <row r="102" customFormat="false" ht="15" hidden="false" customHeight="false" outlineLevel="0" collapsed="false">
      <c r="A102" s="41" t="str">
        <f aca="false">IF(Jobs!$A102="","",Jobs!$A102)</f>
        <v/>
      </c>
      <c r="B102" s="13" t="str">
        <f aca="false">IF(Jobs!$A102="","",Jobs!$E102)</f>
        <v/>
      </c>
      <c r="C102" s="13" t="str">
        <f aca="false">IF(Jobs!$A102="","",Jobs!$F102)</f>
        <v/>
      </c>
      <c r="D102" s="41" t="str">
        <f aca="false">IF(Jobs!$A102="","",Jobs!$P102)</f>
        <v/>
      </c>
      <c r="E102" s="41" t="str">
        <f aca="false">IF(Jobs!$A102="","",Jobs!$S102)</f>
        <v/>
      </c>
      <c r="F102" s="42" t="str">
        <f aca="false">IF(Jobs!$A102="","",Jobs!$T102)</f>
        <v/>
      </c>
      <c r="G102" s="42" t="str">
        <f aca="false">IF(Jobs!$A102="","",Jobs!$U102)</f>
        <v/>
      </c>
      <c r="H102" s="42" t="str">
        <f aca="false">IF(Jobs!$A102="","",Jobs!$V102)</f>
        <v/>
      </c>
      <c r="I102" s="42" t="str">
        <f aca="false">IF(Jobs!$A102="","",Jobs!$X102)</f>
        <v/>
      </c>
      <c r="J102" s="42" t="str">
        <f aca="false">IF(Jobs!$A102="","",Jobs!$Y102)</f>
        <v/>
      </c>
      <c r="K102" s="42" t="str">
        <f aca="false">IF(Jobs!$A102="","",Jobs!$Z102)</f>
        <v/>
      </c>
      <c r="L102" s="41" t="str">
        <f aca="false">IF(Jobs!$A102="","",IF(Jobs!$Z102&lt;&gt;"","Rejected",IF(Jobs!$Y102&lt;&gt;"","Offer",IF(Jobs!$X102&lt;&gt;"","Interview",IF(Jobs!$V102&lt;&gt;"","Responded",IF(Jobs!$U102&lt;&gt;"","Contacted",IF(Jobs!$T102&lt;&gt;"","Applied","Not applied yet")))))))</f>
        <v/>
      </c>
      <c r="M102" s="41" t="str">
        <f aca="false">IF(Jobs!$A102="","",Jobs!$AB102)</f>
        <v/>
      </c>
      <c r="N102" s="42" t="str">
        <f aca="false">IF(Jobs!$A102="","",Jobs!$AA102)</f>
        <v/>
      </c>
    </row>
    <row r="103" customFormat="false" ht="15" hidden="false" customHeight="false" outlineLevel="0" collapsed="false">
      <c r="A103" s="41" t="str">
        <f aca="false">IF(Jobs!$A103="","",Jobs!$A103)</f>
        <v/>
      </c>
      <c r="B103" s="13" t="str">
        <f aca="false">IF(Jobs!$A103="","",Jobs!$E103)</f>
        <v/>
      </c>
      <c r="C103" s="13" t="str">
        <f aca="false">IF(Jobs!$A103="","",Jobs!$F103)</f>
        <v/>
      </c>
      <c r="D103" s="41" t="str">
        <f aca="false">IF(Jobs!$A103="","",Jobs!$P103)</f>
        <v/>
      </c>
      <c r="E103" s="41" t="str">
        <f aca="false">IF(Jobs!$A103="","",Jobs!$S103)</f>
        <v/>
      </c>
      <c r="F103" s="42" t="str">
        <f aca="false">IF(Jobs!$A103="","",Jobs!$T103)</f>
        <v/>
      </c>
      <c r="G103" s="42" t="str">
        <f aca="false">IF(Jobs!$A103="","",Jobs!$U103)</f>
        <v/>
      </c>
      <c r="H103" s="42" t="str">
        <f aca="false">IF(Jobs!$A103="","",Jobs!$V103)</f>
        <v/>
      </c>
      <c r="I103" s="42" t="str">
        <f aca="false">IF(Jobs!$A103="","",Jobs!$X103)</f>
        <v/>
      </c>
      <c r="J103" s="42" t="str">
        <f aca="false">IF(Jobs!$A103="","",Jobs!$Y103)</f>
        <v/>
      </c>
      <c r="K103" s="42" t="str">
        <f aca="false">IF(Jobs!$A103="","",Jobs!$Z103)</f>
        <v/>
      </c>
      <c r="L103" s="41" t="str">
        <f aca="false">IF(Jobs!$A103="","",IF(Jobs!$Z103&lt;&gt;"","Rejected",IF(Jobs!$Y103&lt;&gt;"","Offer",IF(Jobs!$X103&lt;&gt;"","Interview",IF(Jobs!$V103&lt;&gt;"","Responded",IF(Jobs!$U103&lt;&gt;"","Contacted",IF(Jobs!$T103&lt;&gt;"","Applied","Not applied yet")))))))</f>
        <v/>
      </c>
      <c r="M103" s="41" t="str">
        <f aca="false">IF(Jobs!$A103="","",Jobs!$AB103)</f>
        <v/>
      </c>
      <c r="N103" s="42" t="str">
        <f aca="false">IF(Jobs!$A103="","",Jobs!$AA103)</f>
        <v/>
      </c>
    </row>
    <row r="104" customFormat="false" ht="15" hidden="false" customHeight="false" outlineLevel="0" collapsed="false">
      <c r="A104" s="41" t="str">
        <f aca="false">IF(Jobs!$A104="","",Jobs!$A104)</f>
        <v/>
      </c>
      <c r="B104" s="13" t="str">
        <f aca="false">IF(Jobs!$A104="","",Jobs!$E104)</f>
        <v/>
      </c>
      <c r="C104" s="13" t="str">
        <f aca="false">IF(Jobs!$A104="","",Jobs!$F104)</f>
        <v/>
      </c>
      <c r="D104" s="41" t="str">
        <f aca="false">IF(Jobs!$A104="","",Jobs!$P104)</f>
        <v/>
      </c>
      <c r="E104" s="41" t="str">
        <f aca="false">IF(Jobs!$A104="","",Jobs!$S104)</f>
        <v/>
      </c>
      <c r="F104" s="42" t="str">
        <f aca="false">IF(Jobs!$A104="","",Jobs!$T104)</f>
        <v/>
      </c>
      <c r="G104" s="42" t="str">
        <f aca="false">IF(Jobs!$A104="","",Jobs!$U104)</f>
        <v/>
      </c>
      <c r="H104" s="42" t="str">
        <f aca="false">IF(Jobs!$A104="","",Jobs!$V104)</f>
        <v/>
      </c>
      <c r="I104" s="42" t="str">
        <f aca="false">IF(Jobs!$A104="","",Jobs!$X104)</f>
        <v/>
      </c>
      <c r="J104" s="42" t="str">
        <f aca="false">IF(Jobs!$A104="","",Jobs!$Y104)</f>
        <v/>
      </c>
      <c r="K104" s="42" t="str">
        <f aca="false">IF(Jobs!$A104="","",Jobs!$Z104)</f>
        <v/>
      </c>
      <c r="L104" s="41" t="str">
        <f aca="false">IF(Jobs!$A104="","",IF(Jobs!$Z104&lt;&gt;"","Rejected",IF(Jobs!$Y104&lt;&gt;"","Offer",IF(Jobs!$X104&lt;&gt;"","Interview",IF(Jobs!$V104&lt;&gt;"","Responded",IF(Jobs!$U104&lt;&gt;"","Contacted",IF(Jobs!$T104&lt;&gt;"","Applied","Not applied yet")))))))</f>
        <v/>
      </c>
      <c r="M104" s="41" t="str">
        <f aca="false">IF(Jobs!$A104="","",Jobs!$AB104)</f>
        <v/>
      </c>
      <c r="N104" s="42" t="str">
        <f aca="false">IF(Jobs!$A104="","",Jobs!$AA104)</f>
        <v/>
      </c>
    </row>
    <row r="105" customFormat="false" ht="15" hidden="false" customHeight="false" outlineLevel="0" collapsed="false">
      <c r="A105" s="41" t="str">
        <f aca="false">IF(Jobs!$A105="","",Jobs!$A105)</f>
        <v/>
      </c>
      <c r="B105" s="13" t="str">
        <f aca="false">IF(Jobs!$A105="","",Jobs!$E105)</f>
        <v/>
      </c>
      <c r="C105" s="13" t="str">
        <f aca="false">IF(Jobs!$A105="","",Jobs!$F105)</f>
        <v/>
      </c>
      <c r="D105" s="41" t="str">
        <f aca="false">IF(Jobs!$A105="","",Jobs!$P105)</f>
        <v/>
      </c>
      <c r="E105" s="41" t="str">
        <f aca="false">IF(Jobs!$A105="","",Jobs!$S105)</f>
        <v/>
      </c>
      <c r="F105" s="42" t="str">
        <f aca="false">IF(Jobs!$A105="","",Jobs!$T105)</f>
        <v/>
      </c>
      <c r="G105" s="42" t="str">
        <f aca="false">IF(Jobs!$A105="","",Jobs!$U105)</f>
        <v/>
      </c>
      <c r="H105" s="42" t="str">
        <f aca="false">IF(Jobs!$A105="","",Jobs!$V105)</f>
        <v/>
      </c>
      <c r="I105" s="42" t="str">
        <f aca="false">IF(Jobs!$A105="","",Jobs!$X105)</f>
        <v/>
      </c>
      <c r="J105" s="42" t="str">
        <f aca="false">IF(Jobs!$A105="","",Jobs!$Y105)</f>
        <v/>
      </c>
      <c r="K105" s="42" t="str">
        <f aca="false">IF(Jobs!$A105="","",Jobs!$Z105)</f>
        <v/>
      </c>
      <c r="L105" s="41" t="str">
        <f aca="false">IF(Jobs!$A105="","",IF(Jobs!$Z105&lt;&gt;"","Rejected",IF(Jobs!$Y105&lt;&gt;"","Offer",IF(Jobs!$X105&lt;&gt;"","Interview",IF(Jobs!$V105&lt;&gt;"","Responded",IF(Jobs!$U105&lt;&gt;"","Contacted",IF(Jobs!$T105&lt;&gt;"","Applied","Not applied yet")))))))</f>
        <v/>
      </c>
      <c r="M105" s="41" t="str">
        <f aca="false">IF(Jobs!$A105="","",Jobs!$AB105)</f>
        <v/>
      </c>
      <c r="N105" s="42" t="str">
        <f aca="false">IF(Jobs!$A105="","",Jobs!$AA105)</f>
        <v/>
      </c>
    </row>
    <row r="106" customFormat="false" ht="15" hidden="false" customHeight="false" outlineLevel="0" collapsed="false">
      <c r="A106" s="41" t="str">
        <f aca="false">IF(Jobs!$A106="","",Jobs!$A106)</f>
        <v/>
      </c>
      <c r="B106" s="13" t="str">
        <f aca="false">IF(Jobs!$A106="","",Jobs!$E106)</f>
        <v/>
      </c>
      <c r="C106" s="13" t="str">
        <f aca="false">IF(Jobs!$A106="","",Jobs!$F106)</f>
        <v/>
      </c>
      <c r="D106" s="41" t="str">
        <f aca="false">IF(Jobs!$A106="","",Jobs!$P106)</f>
        <v/>
      </c>
      <c r="E106" s="41" t="str">
        <f aca="false">IF(Jobs!$A106="","",Jobs!$S106)</f>
        <v/>
      </c>
      <c r="F106" s="42" t="str">
        <f aca="false">IF(Jobs!$A106="","",Jobs!$T106)</f>
        <v/>
      </c>
      <c r="G106" s="42" t="str">
        <f aca="false">IF(Jobs!$A106="","",Jobs!$U106)</f>
        <v/>
      </c>
      <c r="H106" s="42" t="str">
        <f aca="false">IF(Jobs!$A106="","",Jobs!$V106)</f>
        <v/>
      </c>
      <c r="I106" s="42" t="str">
        <f aca="false">IF(Jobs!$A106="","",Jobs!$X106)</f>
        <v/>
      </c>
      <c r="J106" s="42" t="str">
        <f aca="false">IF(Jobs!$A106="","",Jobs!$Y106)</f>
        <v/>
      </c>
      <c r="K106" s="42" t="str">
        <f aca="false">IF(Jobs!$A106="","",Jobs!$Z106)</f>
        <v/>
      </c>
      <c r="L106" s="41" t="str">
        <f aca="false">IF(Jobs!$A106="","",IF(Jobs!$Z106&lt;&gt;"","Rejected",IF(Jobs!$Y106&lt;&gt;"","Offer",IF(Jobs!$X106&lt;&gt;"","Interview",IF(Jobs!$V106&lt;&gt;"","Responded",IF(Jobs!$U106&lt;&gt;"","Contacted",IF(Jobs!$T106&lt;&gt;"","Applied","Not applied yet")))))))</f>
        <v/>
      </c>
      <c r="M106" s="41" t="str">
        <f aca="false">IF(Jobs!$A106="","",Jobs!$AB106)</f>
        <v/>
      </c>
      <c r="N106" s="42" t="str">
        <f aca="false">IF(Jobs!$A106="","",Jobs!$AA106)</f>
        <v/>
      </c>
    </row>
    <row r="107" customFormat="false" ht="15" hidden="false" customHeight="false" outlineLevel="0" collapsed="false">
      <c r="A107" s="41" t="str">
        <f aca="false">IF(Jobs!$A107="","",Jobs!$A107)</f>
        <v/>
      </c>
      <c r="B107" s="13" t="str">
        <f aca="false">IF(Jobs!$A107="","",Jobs!$E107)</f>
        <v/>
      </c>
      <c r="C107" s="13" t="str">
        <f aca="false">IF(Jobs!$A107="","",Jobs!$F107)</f>
        <v/>
      </c>
      <c r="D107" s="41" t="str">
        <f aca="false">IF(Jobs!$A107="","",Jobs!$P107)</f>
        <v/>
      </c>
      <c r="E107" s="41" t="str">
        <f aca="false">IF(Jobs!$A107="","",Jobs!$S107)</f>
        <v/>
      </c>
      <c r="F107" s="42" t="str">
        <f aca="false">IF(Jobs!$A107="","",Jobs!$T107)</f>
        <v/>
      </c>
      <c r="G107" s="42" t="str">
        <f aca="false">IF(Jobs!$A107="","",Jobs!$U107)</f>
        <v/>
      </c>
      <c r="H107" s="42" t="str">
        <f aca="false">IF(Jobs!$A107="","",Jobs!$V107)</f>
        <v/>
      </c>
      <c r="I107" s="42" t="str">
        <f aca="false">IF(Jobs!$A107="","",Jobs!$X107)</f>
        <v/>
      </c>
      <c r="J107" s="42" t="str">
        <f aca="false">IF(Jobs!$A107="","",Jobs!$Y107)</f>
        <v/>
      </c>
      <c r="K107" s="42" t="str">
        <f aca="false">IF(Jobs!$A107="","",Jobs!$Z107)</f>
        <v/>
      </c>
      <c r="L107" s="41" t="str">
        <f aca="false">IF(Jobs!$A107="","",IF(Jobs!$Z107&lt;&gt;"","Rejected",IF(Jobs!$Y107&lt;&gt;"","Offer",IF(Jobs!$X107&lt;&gt;"","Interview",IF(Jobs!$V107&lt;&gt;"","Responded",IF(Jobs!$U107&lt;&gt;"","Contacted",IF(Jobs!$T107&lt;&gt;"","Applied","Not applied yet")))))))</f>
        <v/>
      </c>
      <c r="M107" s="41" t="str">
        <f aca="false">IF(Jobs!$A107="","",Jobs!$AB107)</f>
        <v/>
      </c>
      <c r="N107" s="42" t="str">
        <f aca="false">IF(Jobs!$A107="","",Jobs!$AA107)</f>
        <v/>
      </c>
    </row>
    <row r="108" customFormat="false" ht="15" hidden="false" customHeight="false" outlineLevel="0" collapsed="false">
      <c r="A108" s="41" t="str">
        <f aca="false">IF(Jobs!$A108="","",Jobs!$A108)</f>
        <v/>
      </c>
      <c r="B108" s="13" t="str">
        <f aca="false">IF(Jobs!$A108="","",Jobs!$E108)</f>
        <v/>
      </c>
      <c r="C108" s="13" t="str">
        <f aca="false">IF(Jobs!$A108="","",Jobs!$F108)</f>
        <v/>
      </c>
      <c r="D108" s="41" t="str">
        <f aca="false">IF(Jobs!$A108="","",Jobs!$P108)</f>
        <v/>
      </c>
      <c r="E108" s="41" t="str">
        <f aca="false">IF(Jobs!$A108="","",Jobs!$S108)</f>
        <v/>
      </c>
      <c r="F108" s="42" t="str">
        <f aca="false">IF(Jobs!$A108="","",Jobs!$T108)</f>
        <v/>
      </c>
      <c r="G108" s="42" t="str">
        <f aca="false">IF(Jobs!$A108="","",Jobs!$U108)</f>
        <v/>
      </c>
      <c r="H108" s="42" t="str">
        <f aca="false">IF(Jobs!$A108="","",Jobs!$V108)</f>
        <v/>
      </c>
      <c r="I108" s="42" t="str">
        <f aca="false">IF(Jobs!$A108="","",Jobs!$X108)</f>
        <v/>
      </c>
      <c r="J108" s="42" t="str">
        <f aca="false">IF(Jobs!$A108="","",Jobs!$Y108)</f>
        <v/>
      </c>
      <c r="K108" s="42" t="str">
        <f aca="false">IF(Jobs!$A108="","",Jobs!$Z108)</f>
        <v/>
      </c>
      <c r="L108" s="41" t="str">
        <f aca="false">IF(Jobs!$A108="","",IF(Jobs!$Z108&lt;&gt;"","Rejected",IF(Jobs!$Y108&lt;&gt;"","Offer",IF(Jobs!$X108&lt;&gt;"","Interview",IF(Jobs!$V108&lt;&gt;"","Responded",IF(Jobs!$U108&lt;&gt;"","Contacted",IF(Jobs!$T108&lt;&gt;"","Applied","Not applied yet")))))))</f>
        <v/>
      </c>
      <c r="M108" s="41" t="str">
        <f aca="false">IF(Jobs!$A108="","",Jobs!$AB108)</f>
        <v/>
      </c>
      <c r="N108" s="42" t="str">
        <f aca="false">IF(Jobs!$A108="","",Jobs!$AA108)</f>
        <v/>
      </c>
    </row>
    <row r="109" customFormat="false" ht="15" hidden="false" customHeight="false" outlineLevel="0" collapsed="false">
      <c r="A109" s="41" t="str">
        <f aca="false">IF(Jobs!$A109="","",Jobs!$A109)</f>
        <v/>
      </c>
      <c r="B109" s="13" t="str">
        <f aca="false">IF(Jobs!$A109="","",Jobs!$E109)</f>
        <v/>
      </c>
      <c r="C109" s="13" t="str">
        <f aca="false">IF(Jobs!$A109="","",Jobs!$F109)</f>
        <v/>
      </c>
      <c r="D109" s="41" t="str">
        <f aca="false">IF(Jobs!$A109="","",Jobs!$P109)</f>
        <v/>
      </c>
      <c r="E109" s="41" t="str">
        <f aca="false">IF(Jobs!$A109="","",Jobs!$S109)</f>
        <v/>
      </c>
      <c r="F109" s="42" t="str">
        <f aca="false">IF(Jobs!$A109="","",Jobs!$T109)</f>
        <v/>
      </c>
      <c r="G109" s="42" t="str">
        <f aca="false">IF(Jobs!$A109="","",Jobs!$U109)</f>
        <v/>
      </c>
      <c r="H109" s="42" t="str">
        <f aca="false">IF(Jobs!$A109="","",Jobs!$V109)</f>
        <v/>
      </c>
      <c r="I109" s="42" t="str">
        <f aca="false">IF(Jobs!$A109="","",Jobs!$X109)</f>
        <v/>
      </c>
      <c r="J109" s="42" t="str">
        <f aca="false">IF(Jobs!$A109="","",Jobs!$Y109)</f>
        <v/>
      </c>
      <c r="K109" s="42" t="str">
        <f aca="false">IF(Jobs!$A109="","",Jobs!$Z109)</f>
        <v/>
      </c>
      <c r="L109" s="41" t="str">
        <f aca="false">IF(Jobs!$A109="","",IF(Jobs!$Z109&lt;&gt;"","Rejected",IF(Jobs!$Y109&lt;&gt;"","Offer",IF(Jobs!$X109&lt;&gt;"","Interview",IF(Jobs!$V109&lt;&gt;"","Responded",IF(Jobs!$U109&lt;&gt;"","Contacted",IF(Jobs!$T109&lt;&gt;"","Applied","Not applied yet")))))))</f>
        <v/>
      </c>
      <c r="M109" s="41" t="str">
        <f aca="false">IF(Jobs!$A109="","",Jobs!$AB109)</f>
        <v/>
      </c>
      <c r="N109" s="42" t="str">
        <f aca="false">IF(Jobs!$A109="","",Jobs!$AA109)</f>
        <v/>
      </c>
    </row>
    <row r="110" customFormat="false" ht="15" hidden="false" customHeight="false" outlineLevel="0" collapsed="false">
      <c r="A110" s="41" t="str">
        <f aca="false">IF(Jobs!$A110="","",Jobs!$A110)</f>
        <v/>
      </c>
      <c r="B110" s="13" t="str">
        <f aca="false">IF(Jobs!$A110="","",Jobs!$E110)</f>
        <v/>
      </c>
      <c r="C110" s="13" t="str">
        <f aca="false">IF(Jobs!$A110="","",Jobs!$F110)</f>
        <v/>
      </c>
      <c r="D110" s="41" t="str">
        <f aca="false">IF(Jobs!$A110="","",Jobs!$P110)</f>
        <v/>
      </c>
      <c r="E110" s="41" t="str">
        <f aca="false">IF(Jobs!$A110="","",Jobs!$S110)</f>
        <v/>
      </c>
      <c r="F110" s="42" t="str">
        <f aca="false">IF(Jobs!$A110="","",Jobs!$T110)</f>
        <v/>
      </c>
      <c r="G110" s="42" t="str">
        <f aca="false">IF(Jobs!$A110="","",Jobs!$U110)</f>
        <v/>
      </c>
      <c r="H110" s="42" t="str">
        <f aca="false">IF(Jobs!$A110="","",Jobs!$V110)</f>
        <v/>
      </c>
      <c r="I110" s="42" t="str">
        <f aca="false">IF(Jobs!$A110="","",Jobs!$X110)</f>
        <v/>
      </c>
      <c r="J110" s="42" t="str">
        <f aca="false">IF(Jobs!$A110="","",Jobs!$Y110)</f>
        <v/>
      </c>
      <c r="K110" s="42" t="str">
        <f aca="false">IF(Jobs!$A110="","",Jobs!$Z110)</f>
        <v/>
      </c>
      <c r="L110" s="41" t="str">
        <f aca="false">IF(Jobs!$A110="","",IF(Jobs!$Z110&lt;&gt;"","Rejected",IF(Jobs!$Y110&lt;&gt;"","Offer",IF(Jobs!$X110&lt;&gt;"","Interview",IF(Jobs!$V110&lt;&gt;"","Responded",IF(Jobs!$U110&lt;&gt;"","Contacted",IF(Jobs!$T110&lt;&gt;"","Applied","Not applied yet")))))))</f>
        <v/>
      </c>
      <c r="M110" s="41" t="str">
        <f aca="false">IF(Jobs!$A110="","",Jobs!$AB110)</f>
        <v/>
      </c>
      <c r="N110" s="42" t="str">
        <f aca="false">IF(Jobs!$A110="","",Jobs!$AA110)</f>
        <v/>
      </c>
    </row>
    <row r="111" customFormat="false" ht="15" hidden="false" customHeight="false" outlineLevel="0" collapsed="false">
      <c r="A111" s="41" t="str">
        <f aca="false">IF(Jobs!$A111="","",Jobs!$A111)</f>
        <v/>
      </c>
      <c r="B111" s="13" t="str">
        <f aca="false">IF(Jobs!$A111="","",Jobs!$E111)</f>
        <v/>
      </c>
      <c r="C111" s="13" t="str">
        <f aca="false">IF(Jobs!$A111="","",Jobs!$F111)</f>
        <v/>
      </c>
      <c r="D111" s="41" t="str">
        <f aca="false">IF(Jobs!$A111="","",Jobs!$P111)</f>
        <v/>
      </c>
      <c r="E111" s="41" t="str">
        <f aca="false">IF(Jobs!$A111="","",Jobs!$S111)</f>
        <v/>
      </c>
      <c r="F111" s="42" t="str">
        <f aca="false">IF(Jobs!$A111="","",Jobs!$T111)</f>
        <v/>
      </c>
      <c r="G111" s="42" t="str">
        <f aca="false">IF(Jobs!$A111="","",Jobs!$U111)</f>
        <v/>
      </c>
      <c r="H111" s="42" t="str">
        <f aca="false">IF(Jobs!$A111="","",Jobs!$V111)</f>
        <v/>
      </c>
      <c r="I111" s="42" t="str">
        <f aca="false">IF(Jobs!$A111="","",Jobs!$X111)</f>
        <v/>
      </c>
      <c r="J111" s="42" t="str">
        <f aca="false">IF(Jobs!$A111="","",Jobs!$Y111)</f>
        <v/>
      </c>
      <c r="K111" s="42" t="str">
        <f aca="false">IF(Jobs!$A111="","",Jobs!$Z111)</f>
        <v/>
      </c>
      <c r="L111" s="41" t="str">
        <f aca="false">IF(Jobs!$A111="","",IF(Jobs!$Z111&lt;&gt;"","Rejected",IF(Jobs!$Y111&lt;&gt;"","Offer",IF(Jobs!$X111&lt;&gt;"","Interview",IF(Jobs!$V111&lt;&gt;"","Responded",IF(Jobs!$U111&lt;&gt;"","Contacted",IF(Jobs!$T111&lt;&gt;"","Applied","Not applied yet")))))))</f>
        <v/>
      </c>
      <c r="M111" s="41" t="str">
        <f aca="false">IF(Jobs!$A111="","",Jobs!$AB111)</f>
        <v/>
      </c>
      <c r="N111" s="42" t="str">
        <f aca="false">IF(Jobs!$A111="","",Jobs!$AA111)</f>
        <v/>
      </c>
    </row>
    <row r="112" customFormat="false" ht="15" hidden="false" customHeight="false" outlineLevel="0" collapsed="false">
      <c r="A112" s="41" t="str">
        <f aca="false">IF(Jobs!$A112="","",Jobs!$A112)</f>
        <v/>
      </c>
      <c r="B112" s="13" t="str">
        <f aca="false">IF(Jobs!$A112="","",Jobs!$E112)</f>
        <v/>
      </c>
      <c r="C112" s="13" t="str">
        <f aca="false">IF(Jobs!$A112="","",Jobs!$F112)</f>
        <v/>
      </c>
      <c r="D112" s="41" t="str">
        <f aca="false">IF(Jobs!$A112="","",Jobs!$P112)</f>
        <v/>
      </c>
      <c r="E112" s="41" t="str">
        <f aca="false">IF(Jobs!$A112="","",Jobs!$S112)</f>
        <v/>
      </c>
      <c r="F112" s="42" t="str">
        <f aca="false">IF(Jobs!$A112="","",Jobs!$T112)</f>
        <v/>
      </c>
      <c r="G112" s="42" t="str">
        <f aca="false">IF(Jobs!$A112="","",Jobs!$U112)</f>
        <v/>
      </c>
      <c r="H112" s="42" t="str">
        <f aca="false">IF(Jobs!$A112="","",Jobs!$V112)</f>
        <v/>
      </c>
      <c r="I112" s="42" t="str">
        <f aca="false">IF(Jobs!$A112="","",Jobs!$X112)</f>
        <v/>
      </c>
      <c r="J112" s="42" t="str">
        <f aca="false">IF(Jobs!$A112="","",Jobs!$Y112)</f>
        <v/>
      </c>
      <c r="K112" s="42" t="str">
        <f aca="false">IF(Jobs!$A112="","",Jobs!$Z112)</f>
        <v/>
      </c>
      <c r="L112" s="41" t="str">
        <f aca="false">IF(Jobs!$A112="","",IF(Jobs!$Z112&lt;&gt;"","Rejected",IF(Jobs!$Y112&lt;&gt;"","Offer",IF(Jobs!$X112&lt;&gt;"","Interview",IF(Jobs!$V112&lt;&gt;"","Responded",IF(Jobs!$U112&lt;&gt;"","Contacted",IF(Jobs!$T112&lt;&gt;"","Applied","Not applied yet")))))))</f>
        <v/>
      </c>
      <c r="M112" s="41" t="str">
        <f aca="false">IF(Jobs!$A112="","",Jobs!$AB112)</f>
        <v/>
      </c>
      <c r="N112" s="42" t="str">
        <f aca="false">IF(Jobs!$A112="","",Jobs!$AA112)</f>
        <v/>
      </c>
    </row>
    <row r="113" customFormat="false" ht="15" hidden="false" customHeight="false" outlineLevel="0" collapsed="false">
      <c r="A113" s="41" t="str">
        <f aca="false">IF(Jobs!$A113="","",Jobs!$A113)</f>
        <v/>
      </c>
      <c r="B113" s="13" t="str">
        <f aca="false">IF(Jobs!$A113="","",Jobs!$E113)</f>
        <v/>
      </c>
      <c r="C113" s="13" t="str">
        <f aca="false">IF(Jobs!$A113="","",Jobs!$F113)</f>
        <v/>
      </c>
      <c r="D113" s="41" t="str">
        <f aca="false">IF(Jobs!$A113="","",Jobs!$P113)</f>
        <v/>
      </c>
      <c r="E113" s="41" t="str">
        <f aca="false">IF(Jobs!$A113="","",Jobs!$S113)</f>
        <v/>
      </c>
      <c r="F113" s="42" t="str">
        <f aca="false">IF(Jobs!$A113="","",Jobs!$T113)</f>
        <v/>
      </c>
      <c r="G113" s="42" t="str">
        <f aca="false">IF(Jobs!$A113="","",Jobs!$U113)</f>
        <v/>
      </c>
      <c r="H113" s="42" t="str">
        <f aca="false">IF(Jobs!$A113="","",Jobs!$V113)</f>
        <v/>
      </c>
      <c r="I113" s="42" t="str">
        <f aca="false">IF(Jobs!$A113="","",Jobs!$X113)</f>
        <v/>
      </c>
      <c r="J113" s="42" t="str">
        <f aca="false">IF(Jobs!$A113="","",Jobs!$Y113)</f>
        <v/>
      </c>
      <c r="K113" s="42" t="str">
        <f aca="false">IF(Jobs!$A113="","",Jobs!$Z113)</f>
        <v/>
      </c>
      <c r="L113" s="41" t="str">
        <f aca="false">IF(Jobs!$A113="","",IF(Jobs!$Z113&lt;&gt;"","Rejected",IF(Jobs!$Y113&lt;&gt;"","Offer",IF(Jobs!$X113&lt;&gt;"","Interview",IF(Jobs!$V113&lt;&gt;"","Responded",IF(Jobs!$U113&lt;&gt;"","Contacted",IF(Jobs!$T113&lt;&gt;"","Applied","Not applied yet")))))))</f>
        <v/>
      </c>
      <c r="M113" s="41" t="str">
        <f aca="false">IF(Jobs!$A113="","",Jobs!$AB113)</f>
        <v/>
      </c>
      <c r="N113" s="42" t="str">
        <f aca="false">IF(Jobs!$A113="","",Jobs!$AA113)</f>
        <v/>
      </c>
    </row>
    <row r="114" customFormat="false" ht="15" hidden="false" customHeight="false" outlineLevel="0" collapsed="false">
      <c r="A114" s="41" t="str">
        <f aca="false">IF(Jobs!$A114="","",Jobs!$A114)</f>
        <v/>
      </c>
      <c r="B114" s="13" t="str">
        <f aca="false">IF(Jobs!$A114="","",Jobs!$E114)</f>
        <v/>
      </c>
      <c r="C114" s="13" t="str">
        <f aca="false">IF(Jobs!$A114="","",Jobs!$F114)</f>
        <v/>
      </c>
      <c r="D114" s="41" t="str">
        <f aca="false">IF(Jobs!$A114="","",Jobs!$P114)</f>
        <v/>
      </c>
      <c r="E114" s="41" t="str">
        <f aca="false">IF(Jobs!$A114="","",Jobs!$S114)</f>
        <v/>
      </c>
      <c r="F114" s="42" t="str">
        <f aca="false">IF(Jobs!$A114="","",Jobs!$T114)</f>
        <v/>
      </c>
      <c r="G114" s="42" t="str">
        <f aca="false">IF(Jobs!$A114="","",Jobs!$U114)</f>
        <v/>
      </c>
      <c r="H114" s="42" t="str">
        <f aca="false">IF(Jobs!$A114="","",Jobs!$V114)</f>
        <v/>
      </c>
      <c r="I114" s="42" t="str">
        <f aca="false">IF(Jobs!$A114="","",Jobs!$X114)</f>
        <v/>
      </c>
      <c r="J114" s="42" t="str">
        <f aca="false">IF(Jobs!$A114="","",Jobs!$Y114)</f>
        <v/>
      </c>
      <c r="K114" s="42" t="str">
        <f aca="false">IF(Jobs!$A114="","",Jobs!$Z114)</f>
        <v/>
      </c>
      <c r="L114" s="41" t="str">
        <f aca="false">IF(Jobs!$A114="","",IF(Jobs!$Z114&lt;&gt;"","Rejected",IF(Jobs!$Y114&lt;&gt;"","Offer",IF(Jobs!$X114&lt;&gt;"","Interview",IF(Jobs!$V114&lt;&gt;"","Responded",IF(Jobs!$U114&lt;&gt;"","Contacted",IF(Jobs!$T114&lt;&gt;"","Applied","Not applied yet")))))))</f>
        <v/>
      </c>
      <c r="M114" s="41" t="str">
        <f aca="false">IF(Jobs!$A114="","",Jobs!$AB114)</f>
        <v/>
      </c>
      <c r="N114" s="42" t="str">
        <f aca="false">IF(Jobs!$A114="","",Jobs!$AA114)</f>
        <v/>
      </c>
    </row>
    <row r="115" customFormat="false" ht="15" hidden="false" customHeight="false" outlineLevel="0" collapsed="false">
      <c r="A115" s="41" t="str">
        <f aca="false">IF(Jobs!$A115="","",Jobs!$A115)</f>
        <v/>
      </c>
      <c r="B115" s="13" t="str">
        <f aca="false">IF(Jobs!$A115="","",Jobs!$E115)</f>
        <v/>
      </c>
      <c r="C115" s="13" t="str">
        <f aca="false">IF(Jobs!$A115="","",Jobs!$F115)</f>
        <v/>
      </c>
      <c r="D115" s="41" t="str">
        <f aca="false">IF(Jobs!$A115="","",Jobs!$P115)</f>
        <v/>
      </c>
      <c r="E115" s="41" t="str">
        <f aca="false">IF(Jobs!$A115="","",Jobs!$S115)</f>
        <v/>
      </c>
      <c r="F115" s="42" t="str">
        <f aca="false">IF(Jobs!$A115="","",Jobs!$T115)</f>
        <v/>
      </c>
      <c r="G115" s="42" t="str">
        <f aca="false">IF(Jobs!$A115="","",Jobs!$U115)</f>
        <v/>
      </c>
      <c r="H115" s="42" t="str">
        <f aca="false">IF(Jobs!$A115="","",Jobs!$V115)</f>
        <v/>
      </c>
      <c r="I115" s="42" t="str">
        <f aca="false">IF(Jobs!$A115="","",Jobs!$X115)</f>
        <v/>
      </c>
      <c r="J115" s="42" t="str">
        <f aca="false">IF(Jobs!$A115="","",Jobs!$Y115)</f>
        <v/>
      </c>
      <c r="K115" s="42" t="str">
        <f aca="false">IF(Jobs!$A115="","",Jobs!$Z115)</f>
        <v/>
      </c>
      <c r="L115" s="41" t="str">
        <f aca="false">IF(Jobs!$A115="","",IF(Jobs!$Z115&lt;&gt;"","Rejected",IF(Jobs!$Y115&lt;&gt;"","Offer",IF(Jobs!$X115&lt;&gt;"","Interview",IF(Jobs!$V115&lt;&gt;"","Responded",IF(Jobs!$U115&lt;&gt;"","Contacted",IF(Jobs!$T115&lt;&gt;"","Applied","Not applied yet")))))))</f>
        <v/>
      </c>
      <c r="M115" s="41" t="str">
        <f aca="false">IF(Jobs!$A115="","",Jobs!$AB115)</f>
        <v/>
      </c>
      <c r="N115" s="42" t="str">
        <f aca="false">IF(Jobs!$A115="","",Jobs!$AA115)</f>
        <v/>
      </c>
    </row>
    <row r="116" customFormat="false" ht="15" hidden="false" customHeight="false" outlineLevel="0" collapsed="false">
      <c r="A116" s="41" t="str">
        <f aca="false">IF(Jobs!$A116="","",Jobs!$A116)</f>
        <v/>
      </c>
      <c r="B116" s="13" t="str">
        <f aca="false">IF(Jobs!$A116="","",Jobs!$E116)</f>
        <v/>
      </c>
      <c r="C116" s="13" t="str">
        <f aca="false">IF(Jobs!$A116="","",Jobs!$F116)</f>
        <v/>
      </c>
      <c r="D116" s="41" t="str">
        <f aca="false">IF(Jobs!$A116="","",Jobs!$P116)</f>
        <v/>
      </c>
      <c r="E116" s="41" t="str">
        <f aca="false">IF(Jobs!$A116="","",Jobs!$S116)</f>
        <v/>
      </c>
      <c r="F116" s="42" t="str">
        <f aca="false">IF(Jobs!$A116="","",Jobs!$T116)</f>
        <v/>
      </c>
      <c r="G116" s="42" t="str">
        <f aca="false">IF(Jobs!$A116="","",Jobs!$U116)</f>
        <v/>
      </c>
      <c r="H116" s="42" t="str">
        <f aca="false">IF(Jobs!$A116="","",Jobs!$V116)</f>
        <v/>
      </c>
      <c r="I116" s="42" t="str">
        <f aca="false">IF(Jobs!$A116="","",Jobs!$X116)</f>
        <v/>
      </c>
      <c r="J116" s="42" t="str">
        <f aca="false">IF(Jobs!$A116="","",Jobs!$Y116)</f>
        <v/>
      </c>
      <c r="K116" s="42" t="str">
        <f aca="false">IF(Jobs!$A116="","",Jobs!$Z116)</f>
        <v/>
      </c>
      <c r="L116" s="41" t="str">
        <f aca="false">IF(Jobs!$A116="","",IF(Jobs!$Z116&lt;&gt;"","Rejected",IF(Jobs!$Y116&lt;&gt;"","Offer",IF(Jobs!$X116&lt;&gt;"","Interview",IF(Jobs!$V116&lt;&gt;"","Responded",IF(Jobs!$U116&lt;&gt;"","Contacted",IF(Jobs!$T116&lt;&gt;"","Applied","Not applied yet")))))))</f>
        <v/>
      </c>
      <c r="M116" s="41" t="str">
        <f aca="false">IF(Jobs!$A116="","",Jobs!$AB116)</f>
        <v/>
      </c>
      <c r="N116" s="42" t="str">
        <f aca="false">IF(Jobs!$A116="","",Jobs!$AA116)</f>
        <v/>
      </c>
    </row>
    <row r="117" customFormat="false" ht="15" hidden="false" customHeight="false" outlineLevel="0" collapsed="false">
      <c r="A117" s="41" t="str">
        <f aca="false">IF(Jobs!$A117="","",Jobs!$A117)</f>
        <v/>
      </c>
      <c r="B117" s="13" t="str">
        <f aca="false">IF(Jobs!$A117="","",Jobs!$E117)</f>
        <v/>
      </c>
      <c r="C117" s="13" t="str">
        <f aca="false">IF(Jobs!$A117="","",Jobs!$F117)</f>
        <v/>
      </c>
      <c r="D117" s="41" t="str">
        <f aca="false">IF(Jobs!$A117="","",Jobs!$P117)</f>
        <v/>
      </c>
      <c r="E117" s="41" t="str">
        <f aca="false">IF(Jobs!$A117="","",Jobs!$S117)</f>
        <v/>
      </c>
      <c r="F117" s="42" t="str">
        <f aca="false">IF(Jobs!$A117="","",Jobs!$T117)</f>
        <v/>
      </c>
      <c r="G117" s="42" t="str">
        <f aca="false">IF(Jobs!$A117="","",Jobs!$U117)</f>
        <v/>
      </c>
      <c r="H117" s="42" t="str">
        <f aca="false">IF(Jobs!$A117="","",Jobs!$V117)</f>
        <v/>
      </c>
      <c r="I117" s="42" t="str">
        <f aca="false">IF(Jobs!$A117="","",Jobs!$X117)</f>
        <v/>
      </c>
      <c r="J117" s="42" t="str">
        <f aca="false">IF(Jobs!$A117="","",Jobs!$Y117)</f>
        <v/>
      </c>
      <c r="K117" s="42" t="str">
        <f aca="false">IF(Jobs!$A117="","",Jobs!$Z117)</f>
        <v/>
      </c>
      <c r="L117" s="41" t="str">
        <f aca="false">IF(Jobs!$A117="","",IF(Jobs!$Z117&lt;&gt;"","Rejected",IF(Jobs!$Y117&lt;&gt;"","Offer",IF(Jobs!$X117&lt;&gt;"","Interview",IF(Jobs!$V117&lt;&gt;"","Responded",IF(Jobs!$U117&lt;&gt;"","Contacted",IF(Jobs!$T117&lt;&gt;"","Applied","Not applied yet")))))))</f>
        <v/>
      </c>
      <c r="M117" s="41" t="str">
        <f aca="false">IF(Jobs!$A117="","",Jobs!$AB117)</f>
        <v/>
      </c>
      <c r="N117" s="42" t="str">
        <f aca="false">IF(Jobs!$A117="","",Jobs!$AA117)</f>
        <v/>
      </c>
    </row>
    <row r="118" customFormat="false" ht="15" hidden="false" customHeight="false" outlineLevel="0" collapsed="false">
      <c r="A118" s="41" t="str">
        <f aca="false">IF(Jobs!$A118="","",Jobs!$A118)</f>
        <v/>
      </c>
      <c r="B118" s="13" t="str">
        <f aca="false">IF(Jobs!$A118="","",Jobs!$E118)</f>
        <v/>
      </c>
      <c r="C118" s="13" t="str">
        <f aca="false">IF(Jobs!$A118="","",Jobs!$F118)</f>
        <v/>
      </c>
      <c r="D118" s="41" t="str">
        <f aca="false">IF(Jobs!$A118="","",Jobs!$P118)</f>
        <v/>
      </c>
      <c r="E118" s="41" t="str">
        <f aca="false">IF(Jobs!$A118="","",Jobs!$S118)</f>
        <v/>
      </c>
      <c r="F118" s="42" t="str">
        <f aca="false">IF(Jobs!$A118="","",Jobs!$T118)</f>
        <v/>
      </c>
      <c r="G118" s="42" t="str">
        <f aca="false">IF(Jobs!$A118="","",Jobs!$U118)</f>
        <v/>
      </c>
      <c r="H118" s="42" t="str">
        <f aca="false">IF(Jobs!$A118="","",Jobs!$V118)</f>
        <v/>
      </c>
      <c r="I118" s="42" t="str">
        <f aca="false">IF(Jobs!$A118="","",Jobs!$X118)</f>
        <v/>
      </c>
      <c r="J118" s="42" t="str">
        <f aca="false">IF(Jobs!$A118="","",Jobs!$Y118)</f>
        <v/>
      </c>
      <c r="K118" s="42" t="str">
        <f aca="false">IF(Jobs!$A118="","",Jobs!$Z118)</f>
        <v/>
      </c>
      <c r="L118" s="41" t="str">
        <f aca="false">IF(Jobs!$A118="","",IF(Jobs!$Z118&lt;&gt;"","Rejected",IF(Jobs!$Y118&lt;&gt;"","Offer",IF(Jobs!$X118&lt;&gt;"","Interview",IF(Jobs!$V118&lt;&gt;"","Responded",IF(Jobs!$U118&lt;&gt;"","Contacted",IF(Jobs!$T118&lt;&gt;"","Applied","Not applied yet")))))))</f>
        <v/>
      </c>
      <c r="M118" s="41" t="str">
        <f aca="false">IF(Jobs!$A118="","",Jobs!$AB118)</f>
        <v/>
      </c>
      <c r="N118" s="42" t="str">
        <f aca="false">IF(Jobs!$A118="","",Jobs!$AA118)</f>
        <v/>
      </c>
    </row>
    <row r="119" customFormat="false" ht="15" hidden="false" customHeight="false" outlineLevel="0" collapsed="false">
      <c r="A119" s="41" t="str">
        <f aca="false">IF(Jobs!$A119="","",Jobs!$A119)</f>
        <v/>
      </c>
      <c r="B119" s="13" t="str">
        <f aca="false">IF(Jobs!$A119="","",Jobs!$E119)</f>
        <v/>
      </c>
      <c r="C119" s="13" t="str">
        <f aca="false">IF(Jobs!$A119="","",Jobs!$F119)</f>
        <v/>
      </c>
      <c r="D119" s="41" t="str">
        <f aca="false">IF(Jobs!$A119="","",Jobs!$P119)</f>
        <v/>
      </c>
      <c r="E119" s="41" t="str">
        <f aca="false">IF(Jobs!$A119="","",Jobs!$S119)</f>
        <v/>
      </c>
      <c r="F119" s="42" t="str">
        <f aca="false">IF(Jobs!$A119="","",Jobs!$T119)</f>
        <v/>
      </c>
      <c r="G119" s="42" t="str">
        <f aca="false">IF(Jobs!$A119="","",Jobs!$U119)</f>
        <v/>
      </c>
      <c r="H119" s="42" t="str">
        <f aca="false">IF(Jobs!$A119="","",Jobs!$V119)</f>
        <v/>
      </c>
      <c r="I119" s="42" t="str">
        <f aca="false">IF(Jobs!$A119="","",Jobs!$X119)</f>
        <v/>
      </c>
      <c r="J119" s="42" t="str">
        <f aca="false">IF(Jobs!$A119="","",Jobs!$Y119)</f>
        <v/>
      </c>
      <c r="K119" s="42" t="str">
        <f aca="false">IF(Jobs!$A119="","",Jobs!$Z119)</f>
        <v/>
      </c>
      <c r="L119" s="41" t="str">
        <f aca="false">IF(Jobs!$A119="","",IF(Jobs!$Z119&lt;&gt;"","Rejected",IF(Jobs!$Y119&lt;&gt;"","Offer",IF(Jobs!$X119&lt;&gt;"","Interview",IF(Jobs!$V119&lt;&gt;"","Responded",IF(Jobs!$U119&lt;&gt;"","Contacted",IF(Jobs!$T119&lt;&gt;"","Applied","Not applied yet")))))))</f>
        <v/>
      </c>
      <c r="M119" s="41" t="str">
        <f aca="false">IF(Jobs!$A119="","",Jobs!$AB119)</f>
        <v/>
      </c>
      <c r="N119" s="42" t="str">
        <f aca="false">IF(Jobs!$A119="","",Jobs!$AA119)</f>
        <v/>
      </c>
    </row>
    <row r="120" customFormat="false" ht="15" hidden="false" customHeight="false" outlineLevel="0" collapsed="false">
      <c r="A120" s="41" t="str">
        <f aca="false">IF(Jobs!$A120="","",Jobs!$A120)</f>
        <v/>
      </c>
      <c r="B120" s="13" t="str">
        <f aca="false">IF(Jobs!$A120="","",Jobs!$E120)</f>
        <v/>
      </c>
      <c r="C120" s="13" t="str">
        <f aca="false">IF(Jobs!$A120="","",Jobs!$F120)</f>
        <v/>
      </c>
      <c r="D120" s="41" t="str">
        <f aca="false">IF(Jobs!$A120="","",Jobs!$P120)</f>
        <v/>
      </c>
      <c r="E120" s="41" t="str">
        <f aca="false">IF(Jobs!$A120="","",Jobs!$S120)</f>
        <v/>
      </c>
      <c r="F120" s="42" t="str">
        <f aca="false">IF(Jobs!$A120="","",Jobs!$T120)</f>
        <v/>
      </c>
      <c r="G120" s="42" t="str">
        <f aca="false">IF(Jobs!$A120="","",Jobs!$U120)</f>
        <v/>
      </c>
      <c r="H120" s="42" t="str">
        <f aca="false">IF(Jobs!$A120="","",Jobs!$V120)</f>
        <v/>
      </c>
      <c r="I120" s="42" t="str">
        <f aca="false">IF(Jobs!$A120="","",Jobs!$X120)</f>
        <v/>
      </c>
      <c r="J120" s="42" t="str">
        <f aca="false">IF(Jobs!$A120="","",Jobs!$Y120)</f>
        <v/>
      </c>
      <c r="K120" s="42" t="str">
        <f aca="false">IF(Jobs!$A120="","",Jobs!$Z120)</f>
        <v/>
      </c>
      <c r="L120" s="41" t="str">
        <f aca="false">IF(Jobs!$A120="","",IF(Jobs!$Z120&lt;&gt;"","Rejected",IF(Jobs!$Y120&lt;&gt;"","Offer",IF(Jobs!$X120&lt;&gt;"","Interview",IF(Jobs!$V120&lt;&gt;"","Responded",IF(Jobs!$U120&lt;&gt;"","Contacted",IF(Jobs!$T120&lt;&gt;"","Applied","Not applied yet")))))))</f>
        <v/>
      </c>
      <c r="M120" s="41" t="str">
        <f aca="false">IF(Jobs!$A120="","",Jobs!$AB120)</f>
        <v/>
      </c>
      <c r="N120" s="42" t="str">
        <f aca="false">IF(Jobs!$A120="","",Jobs!$AA120)</f>
        <v/>
      </c>
    </row>
    <row r="121" customFormat="false" ht="15" hidden="false" customHeight="false" outlineLevel="0" collapsed="false">
      <c r="A121" s="41" t="str">
        <f aca="false">IF(Jobs!$A121="","",Jobs!$A121)</f>
        <v/>
      </c>
      <c r="B121" s="13" t="str">
        <f aca="false">IF(Jobs!$A121="","",Jobs!$E121)</f>
        <v/>
      </c>
      <c r="C121" s="13" t="str">
        <f aca="false">IF(Jobs!$A121="","",Jobs!$F121)</f>
        <v/>
      </c>
      <c r="D121" s="41" t="str">
        <f aca="false">IF(Jobs!$A121="","",Jobs!$P121)</f>
        <v/>
      </c>
      <c r="E121" s="41" t="str">
        <f aca="false">IF(Jobs!$A121="","",Jobs!$S121)</f>
        <v/>
      </c>
      <c r="F121" s="42" t="str">
        <f aca="false">IF(Jobs!$A121="","",Jobs!$T121)</f>
        <v/>
      </c>
      <c r="G121" s="42" t="str">
        <f aca="false">IF(Jobs!$A121="","",Jobs!$U121)</f>
        <v/>
      </c>
      <c r="H121" s="42" t="str">
        <f aca="false">IF(Jobs!$A121="","",Jobs!$V121)</f>
        <v/>
      </c>
      <c r="I121" s="42" t="str">
        <f aca="false">IF(Jobs!$A121="","",Jobs!$X121)</f>
        <v/>
      </c>
      <c r="J121" s="42" t="str">
        <f aca="false">IF(Jobs!$A121="","",Jobs!$Y121)</f>
        <v/>
      </c>
      <c r="K121" s="42" t="str">
        <f aca="false">IF(Jobs!$A121="","",Jobs!$Z121)</f>
        <v/>
      </c>
      <c r="L121" s="41" t="str">
        <f aca="false">IF(Jobs!$A121="","",IF(Jobs!$Z121&lt;&gt;"","Rejected",IF(Jobs!$Y121&lt;&gt;"","Offer",IF(Jobs!$X121&lt;&gt;"","Interview",IF(Jobs!$V121&lt;&gt;"","Responded",IF(Jobs!$U121&lt;&gt;"","Contacted",IF(Jobs!$T121&lt;&gt;"","Applied","Not applied yet")))))))</f>
        <v/>
      </c>
      <c r="M121" s="41" t="str">
        <f aca="false">IF(Jobs!$A121="","",Jobs!$AB121)</f>
        <v/>
      </c>
      <c r="N121" s="42" t="str">
        <f aca="false">IF(Jobs!$A121="","",Jobs!$AA121)</f>
        <v/>
      </c>
    </row>
    <row r="122" customFormat="false" ht="15" hidden="false" customHeight="false" outlineLevel="0" collapsed="false">
      <c r="A122" s="41" t="str">
        <f aca="false">IF(Jobs!$A122="","",Jobs!$A122)</f>
        <v/>
      </c>
      <c r="B122" s="13" t="str">
        <f aca="false">IF(Jobs!$A122="","",Jobs!$E122)</f>
        <v/>
      </c>
      <c r="C122" s="13" t="str">
        <f aca="false">IF(Jobs!$A122="","",Jobs!$F122)</f>
        <v/>
      </c>
      <c r="D122" s="41" t="str">
        <f aca="false">IF(Jobs!$A122="","",Jobs!$P122)</f>
        <v/>
      </c>
      <c r="E122" s="41" t="str">
        <f aca="false">IF(Jobs!$A122="","",Jobs!$S122)</f>
        <v/>
      </c>
      <c r="F122" s="42" t="str">
        <f aca="false">IF(Jobs!$A122="","",Jobs!$T122)</f>
        <v/>
      </c>
      <c r="G122" s="42" t="str">
        <f aca="false">IF(Jobs!$A122="","",Jobs!$U122)</f>
        <v/>
      </c>
      <c r="H122" s="42" t="str">
        <f aca="false">IF(Jobs!$A122="","",Jobs!$V122)</f>
        <v/>
      </c>
      <c r="I122" s="42" t="str">
        <f aca="false">IF(Jobs!$A122="","",Jobs!$X122)</f>
        <v/>
      </c>
      <c r="J122" s="42" t="str">
        <f aca="false">IF(Jobs!$A122="","",Jobs!$Y122)</f>
        <v/>
      </c>
      <c r="K122" s="42" t="str">
        <f aca="false">IF(Jobs!$A122="","",Jobs!$Z122)</f>
        <v/>
      </c>
      <c r="L122" s="41" t="str">
        <f aca="false">IF(Jobs!$A122="","",IF(Jobs!$Z122&lt;&gt;"","Rejected",IF(Jobs!$Y122&lt;&gt;"","Offer",IF(Jobs!$X122&lt;&gt;"","Interview",IF(Jobs!$V122&lt;&gt;"","Responded",IF(Jobs!$U122&lt;&gt;"","Contacted",IF(Jobs!$T122&lt;&gt;"","Applied","Not applied yet")))))))</f>
        <v/>
      </c>
      <c r="M122" s="41" t="str">
        <f aca="false">IF(Jobs!$A122="","",Jobs!$AB122)</f>
        <v/>
      </c>
      <c r="N122" s="42" t="str">
        <f aca="false">IF(Jobs!$A122="","",Jobs!$AA122)</f>
        <v/>
      </c>
    </row>
    <row r="123" customFormat="false" ht="15" hidden="false" customHeight="false" outlineLevel="0" collapsed="false">
      <c r="A123" s="41" t="str">
        <f aca="false">IF(Jobs!$A123="","",Jobs!$A123)</f>
        <v/>
      </c>
      <c r="B123" s="13" t="str">
        <f aca="false">IF(Jobs!$A123="","",Jobs!$E123)</f>
        <v/>
      </c>
      <c r="C123" s="13" t="str">
        <f aca="false">IF(Jobs!$A123="","",Jobs!$F123)</f>
        <v/>
      </c>
      <c r="D123" s="41" t="str">
        <f aca="false">IF(Jobs!$A123="","",Jobs!$P123)</f>
        <v/>
      </c>
      <c r="E123" s="41" t="str">
        <f aca="false">IF(Jobs!$A123="","",Jobs!$S123)</f>
        <v/>
      </c>
      <c r="F123" s="42" t="str">
        <f aca="false">IF(Jobs!$A123="","",Jobs!$T123)</f>
        <v/>
      </c>
      <c r="G123" s="42" t="str">
        <f aca="false">IF(Jobs!$A123="","",Jobs!$U123)</f>
        <v/>
      </c>
      <c r="H123" s="42" t="str">
        <f aca="false">IF(Jobs!$A123="","",Jobs!$V123)</f>
        <v/>
      </c>
      <c r="I123" s="42" t="str">
        <f aca="false">IF(Jobs!$A123="","",Jobs!$X123)</f>
        <v/>
      </c>
      <c r="J123" s="42" t="str">
        <f aca="false">IF(Jobs!$A123="","",Jobs!$Y123)</f>
        <v/>
      </c>
      <c r="K123" s="42" t="str">
        <f aca="false">IF(Jobs!$A123="","",Jobs!$Z123)</f>
        <v/>
      </c>
      <c r="L123" s="41" t="str">
        <f aca="false">IF(Jobs!$A123="","",IF(Jobs!$Z123&lt;&gt;"","Rejected",IF(Jobs!$Y123&lt;&gt;"","Offer",IF(Jobs!$X123&lt;&gt;"","Interview",IF(Jobs!$V123&lt;&gt;"","Responded",IF(Jobs!$U123&lt;&gt;"","Contacted",IF(Jobs!$T123&lt;&gt;"","Applied","Not applied yet")))))))</f>
        <v/>
      </c>
      <c r="M123" s="41" t="str">
        <f aca="false">IF(Jobs!$A123="","",Jobs!$AB123)</f>
        <v/>
      </c>
      <c r="N123" s="42" t="str">
        <f aca="false">IF(Jobs!$A123="","",Jobs!$AA123)</f>
        <v/>
      </c>
    </row>
    <row r="124" customFormat="false" ht="15" hidden="false" customHeight="false" outlineLevel="0" collapsed="false">
      <c r="A124" s="41" t="str">
        <f aca="false">IF(Jobs!$A124="","",Jobs!$A124)</f>
        <v/>
      </c>
      <c r="B124" s="13" t="str">
        <f aca="false">IF(Jobs!$A124="","",Jobs!$E124)</f>
        <v/>
      </c>
      <c r="C124" s="13" t="str">
        <f aca="false">IF(Jobs!$A124="","",Jobs!$F124)</f>
        <v/>
      </c>
      <c r="D124" s="41" t="str">
        <f aca="false">IF(Jobs!$A124="","",Jobs!$P124)</f>
        <v/>
      </c>
      <c r="E124" s="41" t="str">
        <f aca="false">IF(Jobs!$A124="","",Jobs!$S124)</f>
        <v/>
      </c>
      <c r="F124" s="42" t="str">
        <f aca="false">IF(Jobs!$A124="","",Jobs!$T124)</f>
        <v/>
      </c>
      <c r="G124" s="42" t="str">
        <f aca="false">IF(Jobs!$A124="","",Jobs!$U124)</f>
        <v/>
      </c>
      <c r="H124" s="42" t="str">
        <f aca="false">IF(Jobs!$A124="","",Jobs!$V124)</f>
        <v/>
      </c>
      <c r="I124" s="42" t="str">
        <f aca="false">IF(Jobs!$A124="","",Jobs!$X124)</f>
        <v/>
      </c>
      <c r="J124" s="42" t="str">
        <f aca="false">IF(Jobs!$A124="","",Jobs!$Y124)</f>
        <v/>
      </c>
      <c r="K124" s="42" t="str">
        <f aca="false">IF(Jobs!$A124="","",Jobs!$Z124)</f>
        <v/>
      </c>
      <c r="L124" s="41" t="str">
        <f aca="false">IF(Jobs!$A124="","",IF(Jobs!$Z124&lt;&gt;"","Rejected",IF(Jobs!$Y124&lt;&gt;"","Offer",IF(Jobs!$X124&lt;&gt;"","Interview",IF(Jobs!$V124&lt;&gt;"","Responded",IF(Jobs!$U124&lt;&gt;"","Contacted",IF(Jobs!$T124&lt;&gt;"","Applied","Not applied yet")))))))</f>
        <v/>
      </c>
      <c r="M124" s="41" t="str">
        <f aca="false">IF(Jobs!$A124="","",Jobs!$AB124)</f>
        <v/>
      </c>
      <c r="N124" s="42" t="str">
        <f aca="false">IF(Jobs!$A124="","",Jobs!$AA124)</f>
        <v/>
      </c>
    </row>
    <row r="125" customFormat="false" ht="15" hidden="false" customHeight="false" outlineLevel="0" collapsed="false">
      <c r="A125" s="41" t="str">
        <f aca="false">IF(Jobs!$A125="","",Jobs!$A125)</f>
        <v/>
      </c>
      <c r="B125" s="13" t="str">
        <f aca="false">IF(Jobs!$A125="","",Jobs!$E125)</f>
        <v/>
      </c>
      <c r="C125" s="13" t="str">
        <f aca="false">IF(Jobs!$A125="","",Jobs!$F125)</f>
        <v/>
      </c>
      <c r="D125" s="41" t="str">
        <f aca="false">IF(Jobs!$A125="","",Jobs!$P125)</f>
        <v/>
      </c>
      <c r="E125" s="41" t="str">
        <f aca="false">IF(Jobs!$A125="","",Jobs!$S125)</f>
        <v/>
      </c>
      <c r="F125" s="42" t="str">
        <f aca="false">IF(Jobs!$A125="","",Jobs!$T125)</f>
        <v/>
      </c>
      <c r="G125" s="42" t="str">
        <f aca="false">IF(Jobs!$A125="","",Jobs!$U125)</f>
        <v/>
      </c>
      <c r="H125" s="42" t="str">
        <f aca="false">IF(Jobs!$A125="","",Jobs!$V125)</f>
        <v/>
      </c>
      <c r="I125" s="42" t="str">
        <f aca="false">IF(Jobs!$A125="","",Jobs!$X125)</f>
        <v/>
      </c>
      <c r="J125" s="42" t="str">
        <f aca="false">IF(Jobs!$A125="","",Jobs!$Y125)</f>
        <v/>
      </c>
      <c r="K125" s="42" t="str">
        <f aca="false">IF(Jobs!$A125="","",Jobs!$Z125)</f>
        <v/>
      </c>
      <c r="L125" s="41" t="str">
        <f aca="false">IF(Jobs!$A125="","",IF(Jobs!$Z125&lt;&gt;"","Rejected",IF(Jobs!$Y125&lt;&gt;"","Offer",IF(Jobs!$X125&lt;&gt;"","Interview",IF(Jobs!$V125&lt;&gt;"","Responded",IF(Jobs!$U125&lt;&gt;"","Contacted",IF(Jobs!$T125&lt;&gt;"","Applied","Not applied yet")))))))</f>
        <v/>
      </c>
      <c r="M125" s="41" t="str">
        <f aca="false">IF(Jobs!$A125="","",Jobs!$AB125)</f>
        <v/>
      </c>
      <c r="N125" s="42" t="str">
        <f aca="false">IF(Jobs!$A125="","",Jobs!$AA125)</f>
        <v/>
      </c>
    </row>
    <row r="126" customFormat="false" ht="15" hidden="false" customHeight="false" outlineLevel="0" collapsed="false">
      <c r="A126" s="41" t="str">
        <f aca="false">IF(Jobs!$A126="","",Jobs!$A126)</f>
        <v/>
      </c>
      <c r="B126" s="13" t="str">
        <f aca="false">IF(Jobs!$A126="","",Jobs!$E126)</f>
        <v/>
      </c>
      <c r="C126" s="13" t="str">
        <f aca="false">IF(Jobs!$A126="","",Jobs!$F126)</f>
        <v/>
      </c>
      <c r="D126" s="41" t="str">
        <f aca="false">IF(Jobs!$A126="","",Jobs!$P126)</f>
        <v/>
      </c>
      <c r="E126" s="41" t="str">
        <f aca="false">IF(Jobs!$A126="","",Jobs!$S126)</f>
        <v/>
      </c>
      <c r="F126" s="42" t="str">
        <f aca="false">IF(Jobs!$A126="","",Jobs!$T126)</f>
        <v/>
      </c>
      <c r="G126" s="42" t="str">
        <f aca="false">IF(Jobs!$A126="","",Jobs!$U126)</f>
        <v/>
      </c>
      <c r="H126" s="42" t="str">
        <f aca="false">IF(Jobs!$A126="","",Jobs!$V126)</f>
        <v/>
      </c>
      <c r="I126" s="42" t="str">
        <f aca="false">IF(Jobs!$A126="","",Jobs!$X126)</f>
        <v/>
      </c>
      <c r="J126" s="42" t="str">
        <f aca="false">IF(Jobs!$A126="","",Jobs!$Y126)</f>
        <v/>
      </c>
      <c r="K126" s="42" t="str">
        <f aca="false">IF(Jobs!$A126="","",Jobs!$Z126)</f>
        <v/>
      </c>
      <c r="L126" s="41" t="str">
        <f aca="false">IF(Jobs!$A126="","",IF(Jobs!$Z126&lt;&gt;"","Rejected",IF(Jobs!$Y126&lt;&gt;"","Offer",IF(Jobs!$X126&lt;&gt;"","Interview",IF(Jobs!$V126&lt;&gt;"","Responded",IF(Jobs!$U126&lt;&gt;"","Contacted",IF(Jobs!$T126&lt;&gt;"","Applied","Not applied yet")))))))</f>
        <v/>
      </c>
      <c r="M126" s="41" t="str">
        <f aca="false">IF(Jobs!$A126="","",Jobs!$AB126)</f>
        <v/>
      </c>
      <c r="N126" s="42" t="str">
        <f aca="false">IF(Jobs!$A126="","",Jobs!$AA126)</f>
        <v/>
      </c>
    </row>
    <row r="127" customFormat="false" ht="15" hidden="false" customHeight="false" outlineLevel="0" collapsed="false">
      <c r="A127" s="41" t="str">
        <f aca="false">IF(Jobs!$A127="","",Jobs!$A127)</f>
        <v/>
      </c>
      <c r="B127" s="13" t="str">
        <f aca="false">IF(Jobs!$A127="","",Jobs!$E127)</f>
        <v/>
      </c>
      <c r="C127" s="13" t="str">
        <f aca="false">IF(Jobs!$A127="","",Jobs!$F127)</f>
        <v/>
      </c>
      <c r="D127" s="41" t="str">
        <f aca="false">IF(Jobs!$A127="","",Jobs!$P127)</f>
        <v/>
      </c>
      <c r="E127" s="41" t="str">
        <f aca="false">IF(Jobs!$A127="","",Jobs!$S127)</f>
        <v/>
      </c>
      <c r="F127" s="42" t="str">
        <f aca="false">IF(Jobs!$A127="","",Jobs!$T127)</f>
        <v/>
      </c>
      <c r="G127" s="42" t="str">
        <f aca="false">IF(Jobs!$A127="","",Jobs!$U127)</f>
        <v/>
      </c>
      <c r="H127" s="42" t="str">
        <f aca="false">IF(Jobs!$A127="","",Jobs!$V127)</f>
        <v/>
      </c>
      <c r="I127" s="42" t="str">
        <f aca="false">IF(Jobs!$A127="","",Jobs!$X127)</f>
        <v/>
      </c>
      <c r="J127" s="42" t="str">
        <f aca="false">IF(Jobs!$A127="","",Jobs!$Y127)</f>
        <v/>
      </c>
      <c r="K127" s="42" t="str">
        <f aca="false">IF(Jobs!$A127="","",Jobs!$Z127)</f>
        <v/>
      </c>
      <c r="L127" s="41" t="str">
        <f aca="false">IF(Jobs!$A127="","",IF(Jobs!$Z127&lt;&gt;"","Rejected",IF(Jobs!$Y127&lt;&gt;"","Offer",IF(Jobs!$X127&lt;&gt;"","Interview",IF(Jobs!$V127&lt;&gt;"","Responded",IF(Jobs!$U127&lt;&gt;"","Contacted",IF(Jobs!$T127&lt;&gt;"","Applied","Not applied yet")))))))</f>
        <v/>
      </c>
      <c r="M127" s="41" t="str">
        <f aca="false">IF(Jobs!$A127="","",Jobs!$AB127)</f>
        <v/>
      </c>
      <c r="N127" s="42" t="str">
        <f aca="false">IF(Jobs!$A127="","",Jobs!$AA127)</f>
        <v/>
      </c>
    </row>
    <row r="128" customFormat="false" ht="15" hidden="false" customHeight="false" outlineLevel="0" collapsed="false">
      <c r="A128" s="41" t="str">
        <f aca="false">IF(Jobs!$A128="","",Jobs!$A128)</f>
        <v/>
      </c>
      <c r="B128" s="13" t="str">
        <f aca="false">IF(Jobs!$A128="","",Jobs!$E128)</f>
        <v/>
      </c>
      <c r="C128" s="13" t="str">
        <f aca="false">IF(Jobs!$A128="","",Jobs!$F128)</f>
        <v/>
      </c>
      <c r="D128" s="41" t="str">
        <f aca="false">IF(Jobs!$A128="","",Jobs!$P128)</f>
        <v/>
      </c>
      <c r="E128" s="41" t="str">
        <f aca="false">IF(Jobs!$A128="","",Jobs!$S128)</f>
        <v/>
      </c>
      <c r="F128" s="42" t="str">
        <f aca="false">IF(Jobs!$A128="","",Jobs!$T128)</f>
        <v/>
      </c>
      <c r="G128" s="42" t="str">
        <f aca="false">IF(Jobs!$A128="","",Jobs!$U128)</f>
        <v/>
      </c>
      <c r="H128" s="42" t="str">
        <f aca="false">IF(Jobs!$A128="","",Jobs!$V128)</f>
        <v/>
      </c>
      <c r="I128" s="42" t="str">
        <f aca="false">IF(Jobs!$A128="","",Jobs!$X128)</f>
        <v/>
      </c>
      <c r="J128" s="42" t="str">
        <f aca="false">IF(Jobs!$A128="","",Jobs!$Y128)</f>
        <v/>
      </c>
      <c r="K128" s="42" t="str">
        <f aca="false">IF(Jobs!$A128="","",Jobs!$Z128)</f>
        <v/>
      </c>
      <c r="L128" s="41" t="str">
        <f aca="false">IF(Jobs!$A128="","",IF(Jobs!$Z128&lt;&gt;"","Rejected",IF(Jobs!$Y128&lt;&gt;"","Offer",IF(Jobs!$X128&lt;&gt;"","Interview",IF(Jobs!$V128&lt;&gt;"","Responded",IF(Jobs!$U128&lt;&gt;"","Contacted",IF(Jobs!$T128&lt;&gt;"","Applied","Not applied yet")))))))</f>
        <v/>
      </c>
      <c r="M128" s="41" t="str">
        <f aca="false">IF(Jobs!$A128="","",Jobs!$AB128)</f>
        <v/>
      </c>
      <c r="N128" s="42" t="str">
        <f aca="false">IF(Jobs!$A128="","",Jobs!$AA128)</f>
        <v/>
      </c>
    </row>
    <row r="129" customFormat="false" ht="15" hidden="false" customHeight="false" outlineLevel="0" collapsed="false">
      <c r="A129" s="41" t="str">
        <f aca="false">IF(Jobs!$A129="","",Jobs!$A129)</f>
        <v/>
      </c>
      <c r="B129" s="13" t="str">
        <f aca="false">IF(Jobs!$A129="","",Jobs!$E129)</f>
        <v/>
      </c>
      <c r="C129" s="13" t="str">
        <f aca="false">IF(Jobs!$A129="","",Jobs!$F129)</f>
        <v/>
      </c>
      <c r="D129" s="41" t="str">
        <f aca="false">IF(Jobs!$A129="","",Jobs!$P129)</f>
        <v/>
      </c>
      <c r="E129" s="41" t="str">
        <f aca="false">IF(Jobs!$A129="","",Jobs!$S129)</f>
        <v/>
      </c>
      <c r="F129" s="42" t="str">
        <f aca="false">IF(Jobs!$A129="","",Jobs!$T129)</f>
        <v/>
      </c>
      <c r="G129" s="42" t="str">
        <f aca="false">IF(Jobs!$A129="","",Jobs!$U129)</f>
        <v/>
      </c>
      <c r="H129" s="42" t="str">
        <f aca="false">IF(Jobs!$A129="","",Jobs!$V129)</f>
        <v/>
      </c>
      <c r="I129" s="42" t="str">
        <f aca="false">IF(Jobs!$A129="","",Jobs!$X129)</f>
        <v/>
      </c>
      <c r="J129" s="42" t="str">
        <f aca="false">IF(Jobs!$A129="","",Jobs!$Y129)</f>
        <v/>
      </c>
      <c r="K129" s="42" t="str">
        <f aca="false">IF(Jobs!$A129="","",Jobs!$Z129)</f>
        <v/>
      </c>
      <c r="L129" s="41" t="str">
        <f aca="false">IF(Jobs!$A129="","",IF(Jobs!$Z129&lt;&gt;"","Rejected",IF(Jobs!$Y129&lt;&gt;"","Offer",IF(Jobs!$X129&lt;&gt;"","Interview",IF(Jobs!$V129&lt;&gt;"","Responded",IF(Jobs!$U129&lt;&gt;"","Contacted",IF(Jobs!$T129&lt;&gt;"","Applied","Not applied yet")))))))</f>
        <v/>
      </c>
      <c r="M129" s="41" t="str">
        <f aca="false">IF(Jobs!$A129="","",Jobs!$AB129)</f>
        <v/>
      </c>
      <c r="N129" s="42" t="str">
        <f aca="false">IF(Jobs!$A129="","",Jobs!$AA129)</f>
        <v/>
      </c>
    </row>
    <row r="130" customFormat="false" ht="15" hidden="false" customHeight="false" outlineLevel="0" collapsed="false">
      <c r="A130" s="41" t="str">
        <f aca="false">IF(Jobs!$A130="","",Jobs!$A130)</f>
        <v/>
      </c>
      <c r="B130" s="13" t="str">
        <f aca="false">IF(Jobs!$A130="","",Jobs!$E130)</f>
        <v/>
      </c>
      <c r="C130" s="13" t="str">
        <f aca="false">IF(Jobs!$A130="","",Jobs!$F130)</f>
        <v/>
      </c>
      <c r="D130" s="41" t="str">
        <f aca="false">IF(Jobs!$A130="","",Jobs!$P130)</f>
        <v/>
      </c>
      <c r="E130" s="41" t="str">
        <f aca="false">IF(Jobs!$A130="","",Jobs!$S130)</f>
        <v/>
      </c>
      <c r="F130" s="42" t="str">
        <f aca="false">IF(Jobs!$A130="","",Jobs!$T130)</f>
        <v/>
      </c>
      <c r="G130" s="42" t="str">
        <f aca="false">IF(Jobs!$A130="","",Jobs!$U130)</f>
        <v/>
      </c>
      <c r="H130" s="42" t="str">
        <f aca="false">IF(Jobs!$A130="","",Jobs!$V130)</f>
        <v/>
      </c>
      <c r="I130" s="42" t="str">
        <f aca="false">IF(Jobs!$A130="","",Jobs!$X130)</f>
        <v/>
      </c>
      <c r="J130" s="42" t="str">
        <f aca="false">IF(Jobs!$A130="","",Jobs!$Y130)</f>
        <v/>
      </c>
      <c r="K130" s="42" t="str">
        <f aca="false">IF(Jobs!$A130="","",Jobs!$Z130)</f>
        <v/>
      </c>
      <c r="L130" s="41" t="str">
        <f aca="false">IF(Jobs!$A130="","",IF(Jobs!$Z130&lt;&gt;"","Rejected",IF(Jobs!$Y130&lt;&gt;"","Offer",IF(Jobs!$X130&lt;&gt;"","Interview",IF(Jobs!$V130&lt;&gt;"","Responded",IF(Jobs!$U130&lt;&gt;"","Contacted",IF(Jobs!$T130&lt;&gt;"","Applied","Not applied yet")))))))</f>
        <v/>
      </c>
      <c r="M130" s="41" t="str">
        <f aca="false">IF(Jobs!$A130="","",Jobs!$AB130)</f>
        <v/>
      </c>
      <c r="N130" s="42" t="str">
        <f aca="false">IF(Jobs!$A130="","",Jobs!$AA130)</f>
        <v/>
      </c>
    </row>
    <row r="131" customFormat="false" ht="15" hidden="false" customHeight="false" outlineLevel="0" collapsed="false">
      <c r="A131" s="41" t="str">
        <f aca="false">IF(Jobs!$A131="","",Jobs!$A131)</f>
        <v/>
      </c>
      <c r="B131" s="13" t="str">
        <f aca="false">IF(Jobs!$A131="","",Jobs!$E131)</f>
        <v/>
      </c>
      <c r="C131" s="13" t="str">
        <f aca="false">IF(Jobs!$A131="","",Jobs!$F131)</f>
        <v/>
      </c>
      <c r="D131" s="41" t="str">
        <f aca="false">IF(Jobs!$A131="","",Jobs!$P131)</f>
        <v/>
      </c>
      <c r="E131" s="41" t="str">
        <f aca="false">IF(Jobs!$A131="","",Jobs!$S131)</f>
        <v/>
      </c>
      <c r="F131" s="42" t="str">
        <f aca="false">IF(Jobs!$A131="","",Jobs!$T131)</f>
        <v/>
      </c>
      <c r="G131" s="42" t="str">
        <f aca="false">IF(Jobs!$A131="","",Jobs!$U131)</f>
        <v/>
      </c>
      <c r="H131" s="42" t="str">
        <f aca="false">IF(Jobs!$A131="","",Jobs!$V131)</f>
        <v/>
      </c>
      <c r="I131" s="42" t="str">
        <f aca="false">IF(Jobs!$A131="","",Jobs!$X131)</f>
        <v/>
      </c>
      <c r="J131" s="42" t="str">
        <f aca="false">IF(Jobs!$A131="","",Jobs!$Y131)</f>
        <v/>
      </c>
      <c r="K131" s="42" t="str">
        <f aca="false">IF(Jobs!$A131="","",Jobs!$Z131)</f>
        <v/>
      </c>
      <c r="L131" s="41" t="str">
        <f aca="false">IF(Jobs!$A131="","",IF(Jobs!$Z131&lt;&gt;"","Rejected",IF(Jobs!$Y131&lt;&gt;"","Offer",IF(Jobs!$X131&lt;&gt;"","Interview",IF(Jobs!$V131&lt;&gt;"","Responded",IF(Jobs!$U131&lt;&gt;"","Contacted",IF(Jobs!$T131&lt;&gt;"","Applied","Not applied yet")))))))</f>
        <v/>
      </c>
      <c r="M131" s="41" t="str">
        <f aca="false">IF(Jobs!$A131="","",Jobs!$AB131)</f>
        <v/>
      </c>
      <c r="N131" s="42" t="str">
        <f aca="false">IF(Jobs!$A131="","",Jobs!$AA131)</f>
        <v/>
      </c>
    </row>
    <row r="132" customFormat="false" ht="15" hidden="false" customHeight="false" outlineLevel="0" collapsed="false">
      <c r="A132" s="41" t="str">
        <f aca="false">IF(Jobs!$A132="","",Jobs!$A132)</f>
        <v/>
      </c>
      <c r="B132" s="13" t="str">
        <f aca="false">IF(Jobs!$A132="","",Jobs!$E132)</f>
        <v/>
      </c>
      <c r="C132" s="13" t="str">
        <f aca="false">IF(Jobs!$A132="","",Jobs!$F132)</f>
        <v/>
      </c>
      <c r="D132" s="41" t="str">
        <f aca="false">IF(Jobs!$A132="","",Jobs!$P132)</f>
        <v/>
      </c>
      <c r="E132" s="41" t="str">
        <f aca="false">IF(Jobs!$A132="","",Jobs!$S132)</f>
        <v/>
      </c>
      <c r="F132" s="42" t="str">
        <f aca="false">IF(Jobs!$A132="","",Jobs!$T132)</f>
        <v/>
      </c>
      <c r="G132" s="42" t="str">
        <f aca="false">IF(Jobs!$A132="","",Jobs!$U132)</f>
        <v/>
      </c>
      <c r="H132" s="42" t="str">
        <f aca="false">IF(Jobs!$A132="","",Jobs!$V132)</f>
        <v/>
      </c>
      <c r="I132" s="42" t="str">
        <f aca="false">IF(Jobs!$A132="","",Jobs!$X132)</f>
        <v/>
      </c>
      <c r="J132" s="42" t="str">
        <f aca="false">IF(Jobs!$A132="","",Jobs!$Y132)</f>
        <v/>
      </c>
      <c r="K132" s="42" t="str">
        <f aca="false">IF(Jobs!$A132="","",Jobs!$Z132)</f>
        <v/>
      </c>
      <c r="L132" s="41" t="str">
        <f aca="false">IF(Jobs!$A132="","",IF(Jobs!$Z132&lt;&gt;"","Rejected",IF(Jobs!$Y132&lt;&gt;"","Offer",IF(Jobs!$X132&lt;&gt;"","Interview",IF(Jobs!$V132&lt;&gt;"","Responded",IF(Jobs!$U132&lt;&gt;"","Contacted",IF(Jobs!$T132&lt;&gt;"","Applied","Not applied yet")))))))</f>
        <v/>
      </c>
      <c r="M132" s="41" t="str">
        <f aca="false">IF(Jobs!$A132="","",Jobs!$AB132)</f>
        <v/>
      </c>
      <c r="N132" s="42" t="str">
        <f aca="false">IF(Jobs!$A132="","",Jobs!$AA132)</f>
        <v/>
      </c>
    </row>
    <row r="133" customFormat="false" ht="15" hidden="false" customHeight="false" outlineLevel="0" collapsed="false">
      <c r="A133" s="41" t="str">
        <f aca="false">IF(Jobs!$A133="","",Jobs!$A133)</f>
        <v/>
      </c>
      <c r="B133" s="13" t="str">
        <f aca="false">IF(Jobs!$A133="","",Jobs!$E133)</f>
        <v/>
      </c>
      <c r="C133" s="13" t="str">
        <f aca="false">IF(Jobs!$A133="","",Jobs!$F133)</f>
        <v/>
      </c>
      <c r="D133" s="41" t="str">
        <f aca="false">IF(Jobs!$A133="","",Jobs!$P133)</f>
        <v/>
      </c>
      <c r="E133" s="41" t="str">
        <f aca="false">IF(Jobs!$A133="","",Jobs!$S133)</f>
        <v/>
      </c>
      <c r="F133" s="42" t="str">
        <f aca="false">IF(Jobs!$A133="","",Jobs!$T133)</f>
        <v/>
      </c>
      <c r="G133" s="42" t="str">
        <f aca="false">IF(Jobs!$A133="","",Jobs!$U133)</f>
        <v/>
      </c>
      <c r="H133" s="42" t="str">
        <f aca="false">IF(Jobs!$A133="","",Jobs!$V133)</f>
        <v/>
      </c>
      <c r="I133" s="42" t="str">
        <f aca="false">IF(Jobs!$A133="","",Jobs!$X133)</f>
        <v/>
      </c>
      <c r="J133" s="42" t="str">
        <f aca="false">IF(Jobs!$A133="","",Jobs!$Y133)</f>
        <v/>
      </c>
      <c r="K133" s="42" t="str">
        <f aca="false">IF(Jobs!$A133="","",Jobs!$Z133)</f>
        <v/>
      </c>
      <c r="L133" s="41" t="str">
        <f aca="false">IF(Jobs!$A133="","",IF(Jobs!$Z133&lt;&gt;"","Rejected",IF(Jobs!$Y133&lt;&gt;"","Offer",IF(Jobs!$X133&lt;&gt;"","Interview",IF(Jobs!$V133&lt;&gt;"","Responded",IF(Jobs!$U133&lt;&gt;"","Contacted",IF(Jobs!$T133&lt;&gt;"","Applied","Not applied yet")))))))</f>
        <v/>
      </c>
      <c r="M133" s="41" t="str">
        <f aca="false">IF(Jobs!$A133="","",Jobs!$AB133)</f>
        <v/>
      </c>
      <c r="N133" s="42" t="str">
        <f aca="false">IF(Jobs!$A133="","",Jobs!$AA133)</f>
        <v/>
      </c>
    </row>
    <row r="134" customFormat="false" ht="15" hidden="false" customHeight="false" outlineLevel="0" collapsed="false">
      <c r="A134" s="41" t="str">
        <f aca="false">IF(Jobs!$A134="","",Jobs!$A134)</f>
        <v/>
      </c>
      <c r="B134" s="13" t="str">
        <f aca="false">IF(Jobs!$A134="","",Jobs!$E134)</f>
        <v/>
      </c>
      <c r="C134" s="13" t="str">
        <f aca="false">IF(Jobs!$A134="","",Jobs!$F134)</f>
        <v/>
      </c>
      <c r="D134" s="41" t="str">
        <f aca="false">IF(Jobs!$A134="","",Jobs!$P134)</f>
        <v/>
      </c>
      <c r="E134" s="41" t="str">
        <f aca="false">IF(Jobs!$A134="","",Jobs!$S134)</f>
        <v/>
      </c>
      <c r="F134" s="42" t="str">
        <f aca="false">IF(Jobs!$A134="","",Jobs!$T134)</f>
        <v/>
      </c>
      <c r="G134" s="42" t="str">
        <f aca="false">IF(Jobs!$A134="","",Jobs!$U134)</f>
        <v/>
      </c>
      <c r="H134" s="42" t="str">
        <f aca="false">IF(Jobs!$A134="","",Jobs!$V134)</f>
        <v/>
      </c>
      <c r="I134" s="42" t="str">
        <f aca="false">IF(Jobs!$A134="","",Jobs!$X134)</f>
        <v/>
      </c>
      <c r="J134" s="42" t="str">
        <f aca="false">IF(Jobs!$A134="","",Jobs!$Y134)</f>
        <v/>
      </c>
      <c r="K134" s="42" t="str">
        <f aca="false">IF(Jobs!$A134="","",Jobs!$Z134)</f>
        <v/>
      </c>
      <c r="L134" s="41" t="str">
        <f aca="false">IF(Jobs!$A134="","",IF(Jobs!$Z134&lt;&gt;"","Rejected",IF(Jobs!$Y134&lt;&gt;"","Offer",IF(Jobs!$X134&lt;&gt;"","Interview",IF(Jobs!$V134&lt;&gt;"","Responded",IF(Jobs!$U134&lt;&gt;"","Contacted",IF(Jobs!$T134&lt;&gt;"","Applied","Not applied yet")))))))</f>
        <v/>
      </c>
      <c r="M134" s="41" t="str">
        <f aca="false">IF(Jobs!$A134="","",Jobs!$AB134)</f>
        <v/>
      </c>
      <c r="N134" s="42" t="str">
        <f aca="false">IF(Jobs!$A134="","",Jobs!$AA134)</f>
        <v/>
      </c>
    </row>
    <row r="135" customFormat="false" ht="15" hidden="false" customHeight="false" outlineLevel="0" collapsed="false">
      <c r="A135" s="41" t="str">
        <f aca="false">IF(Jobs!$A135="","",Jobs!$A135)</f>
        <v/>
      </c>
      <c r="B135" s="13" t="str">
        <f aca="false">IF(Jobs!$A135="","",Jobs!$E135)</f>
        <v/>
      </c>
      <c r="C135" s="13" t="str">
        <f aca="false">IF(Jobs!$A135="","",Jobs!$F135)</f>
        <v/>
      </c>
      <c r="D135" s="41" t="str">
        <f aca="false">IF(Jobs!$A135="","",Jobs!$P135)</f>
        <v/>
      </c>
      <c r="E135" s="41" t="str">
        <f aca="false">IF(Jobs!$A135="","",Jobs!$S135)</f>
        <v/>
      </c>
      <c r="F135" s="42" t="str">
        <f aca="false">IF(Jobs!$A135="","",Jobs!$T135)</f>
        <v/>
      </c>
      <c r="G135" s="42" t="str">
        <f aca="false">IF(Jobs!$A135="","",Jobs!$U135)</f>
        <v/>
      </c>
      <c r="H135" s="42" t="str">
        <f aca="false">IF(Jobs!$A135="","",Jobs!$V135)</f>
        <v/>
      </c>
      <c r="I135" s="42" t="str">
        <f aca="false">IF(Jobs!$A135="","",Jobs!$X135)</f>
        <v/>
      </c>
      <c r="J135" s="42" t="str">
        <f aca="false">IF(Jobs!$A135="","",Jobs!$Y135)</f>
        <v/>
      </c>
      <c r="K135" s="42" t="str">
        <f aca="false">IF(Jobs!$A135="","",Jobs!$Z135)</f>
        <v/>
      </c>
      <c r="L135" s="41" t="str">
        <f aca="false">IF(Jobs!$A135="","",IF(Jobs!$Z135&lt;&gt;"","Rejected",IF(Jobs!$Y135&lt;&gt;"","Offer",IF(Jobs!$X135&lt;&gt;"","Interview",IF(Jobs!$V135&lt;&gt;"","Responded",IF(Jobs!$U135&lt;&gt;"","Contacted",IF(Jobs!$T135&lt;&gt;"","Applied","Not applied yet")))))))</f>
        <v/>
      </c>
      <c r="M135" s="41" t="str">
        <f aca="false">IF(Jobs!$A135="","",Jobs!$AB135)</f>
        <v/>
      </c>
      <c r="N135" s="42" t="str">
        <f aca="false">IF(Jobs!$A135="","",Jobs!$AA135)</f>
        <v/>
      </c>
    </row>
    <row r="136" customFormat="false" ht="15" hidden="false" customHeight="false" outlineLevel="0" collapsed="false">
      <c r="A136" s="41" t="str">
        <f aca="false">IF(Jobs!$A136="","",Jobs!$A136)</f>
        <v/>
      </c>
      <c r="B136" s="13" t="str">
        <f aca="false">IF(Jobs!$A136="","",Jobs!$E136)</f>
        <v/>
      </c>
      <c r="C136" s="13" t="str">
        <f aca="false">IF(Jobs!$A136="","",Jobs!$F136)</f>
        <v/>
      </c>
      <c r="D136" s="41" t="str">
        <f aca="false">IF(Jobs!$A136="","",Jobs!$P136)</f>
        <v/>
      </c>
      <c r="E136" s="41" t="str">
        <f aca="false">IF(Jobs!$A136="","",Jobs!$S136)</f>
        <v/>
      </c>
      <c r="F136" s="42" t="str">
        <f aca="false">IF(Jobs!$A136="","",Jobs!$T136)</f>
        <v/>
      </c>
      <c r="G136" s="42" t="str">
        <f aca="false">IF(Jobs!$A136="","",Jobs!$U136)</f>
        <v/>
      </c>
      <c r="H136" s="42" t="str">
        <f aca="false">IF(Jobs!$A136="","",Jobs!$V136)</f>
        <v/>
      </c>
      <c r="I136" s="42" t="str">
        <f aca="false">IF(Jobs!$A136="","",Jobs!$X136)</f>
        <v/>
      </c>
      <c r="J136" s="42" t="str">
        <f aca="false">IF(Jobs!$A136="","",Jobs!$Y136)</f>
        <v/>
      </c>
      <c r="K136" s="42" t="str">
        <f aca="false">IF(Jobs!$A136="","",Jobs!$Z136)</f>
        <v/>
      </c>
      <c r="L136" s="41" t="str">
        <f aca="false">IF(Jobs!$A136="","",IF(Jobs!$Z136&lt;&gt;"","Rejected",IF(Jobs!$Y136&lt;&gt;"","Offer",IF(Jobs!$X136&lt;&gt;"","Interview",IF(Jobs!$V136&lt;&gt;"","Responded",IF(Jobs!$U136&lt;&gt;"","Contacted",IF(Jobs!$T136&lt;&gt;"","Applied","Not applied yet")))))))</f>
        <v/>
      </c>
      <c r="M136" s="41" t="str">
        <f aca="false">IF(Jobs!$A136="","",Jobs!$AB136)</f>
        <v/>
      </c>
      <c r="N136" s="42" t="str">
        <f aca="false">IF(Jobs!$A136="","",Jobs!$AA136)</f>
        <v/>
      </c>
    </row>
    <row r="137" customFormat="false" ht="15" hidden="false" customHeight="false" outlineLevel="0" collapsed="false">
      <c r="A137" s="41" t="str">
        <f aca="false">IF(Jobs!$A137="","",Jobs!$A137)</f>
        <v/>
      </c>
      <c r="B137" s="13" t="str">
        <f aca="false">IF(Jobs!$A137="","",Jobs!$E137)</f>
        <v/>
      </c>
      <c r="C137" s="13" t="str">
        <f aca="false">IF(Jobs!$A137="","",Jobs!$F137)</f>
        <v/>
      </c>
      <c r="D137" s="41" t="str">
        <f aca="false">IF(Jobs!$A137="","",Jobs!$P137)</f>
        <v/>
      </c>
      <c r="E137" s="41" t="str">
        <f aca="false">IF(Jobs!$A137="","",Jobs!$S137)</f>
        <v/>
      </c>
      <c r="F137" s="42" t="str">
        <f aca="false">IF(Jobs!$A137="","",Jobs!$T137)</f>
        <v/>
      </c>
      <c r="G137" s="42" t="str">
        <f aca="false">IF(Jobs!$A137="","",Jobs!$U137)</f>
        <v/>
      </c>
      <c r="H137" s="42" t="str">
        <f aca="false">IF(Jobs!$A137="","",Jobs!$V137)</f>
        <v/>
      </c>
      <c r="I137" s="42" t="str">
        <f aca="false">IF(Jobs!$A137="","",Jobs!$X137)</f>
        <v/>
      </c>
      <c r="J137" s="42" t="str">
        <f aca="false">IF(Jobs!$A137="","",Jobs!$Y137)</f>
        <v/>
      </c>
      <c r="K137" s="42" t="str">
        <f aca="false">IF(Jobs!$A137="","",Jobs!$Z137)</f>
        <v/>
      </c>
      <c r="L137" s="41" t="str">
        <f aca="false">IF(Jobs!$A137="","",IF(Jobs!$Z137&lt;&gt;"","Rejected",IF(Jobs!$Y137&lt;&gt;"","Offer",IF(Jobs!$X137&lt;&gt;"","Interview",IF(Jobs!$V137&lt;&gt;"","Responded",IF(Jobs!$U137&lt;&gt;"","Contacted",IF(Jobs!$T137&lt;&gt;"","Applied","Not applied yet")))))))</f>
        <v/>
      </c>
      <c r="M137" s="41" t="str">
        <f aca="false">IF(Jobs!$A137="","",Jobs!$AB137)</f>
        <v/>
      </c>
      <c r="N137" s="42" t="str">
        <f aca="false">IF(Jobs!$A137="","",Jobs!$AA137)</f>
        <v/>
      </c>
    </row>
    <row r="138" customFormat="false" ht="15" hidden="false" customHeight="false" outlineLevel="0" collapsed="false">
      <c r="A138" s="41" t="str">
        <f aca="false">IF(Jobs!$A138="","",Jobs!$A138)</f>
        <v/>
      </c>
      <c r="B138" s="13" t="str">
        <f aca="false">IF(Jobs!$A138="","",Jobs!$E138)</f>
        <v/>
      </c>
      <c r="C138" s="13" t="str">
        <f aca="false">IF(Jobs!$A138="","",Jobs!$F138)</f>
        <v/>
      </c>
      <c r="D138" s="41" t="str">
        <f aca="false">IF(Jobs!$A138="","",Jobs!$P138)</f>
        <v/>
      </c>
      <c r="E138" s="41" t="str">
        <f aca="false">IF(Jobs!$A138="","",Jobs!$S138)</f>
        <v/>
      </c>
      <c r="F138" s="42" t="str">
        <f aca="false">IF(Jobs!$A138="","",Jobs!$T138)</f>
        <v/>
      </c>
      <c r="G138" s="42" t="str">
        <f aca="false">IF(Jobs!$A138="","",Jobs!$U138)</f>
        <v/>
      </c>
      <c r="H138" s="42" t="str">
        <f aca="false">IF(Jobs!$A138="","",Jobs!$V138)</f>
        <v/>
      </c>
      <c r="I138" s="42" t="str">
        <f aca="false">IF(Jobs!$A138="","",Jobs!$X138)</f>
        <v/>
      </c>
      <c r="J138" s="42" t="str">
        <f aca="false">IF(Jobs!$A138="","",Jobs!$Y138)</f>
        <v/>
      </c>
      <c r="K138" s="42" t="str">
        <f aca="false">IF(Jobs!$A138="","",Jobs!$Z138)</f>
        <v/>
      </c>
      <c r="L138" s="41" t="str">
        <f aca="false">IF(Jobs!$A138="","",IF(Jobs!$Z138&lt;&gt;"","Rejected",IF(Jobs!$Y138&lt;&gt;"","Offer",IF(Jobs!$X138&lt;&gt;"","Interview",IF(Jobs!$V138&lt;&gt;"","Responded",IF(Jobs!$U138&lt;&gt;"","Contacted",IF(Jobs!$T138&lt;&gt;"","Applied","Not applied yet")))))))</f>
        <v/>
      </c>
      <c r="M138" s="41" t="str">
        <f aca="false">IF(Jobs!$A138="","",Jobs!$AB138)</f>
        <v/>
      </c>
      <c r="N138" s="42" t="str">
        <f aca="false">IF(Jobs!$A138="","",Jobs!$AA138)</f>
        <v/>
      </c>
    </row>
    <row r="139" customFormat="false" ht="15" hidden="false" customHeight="false" outlineLevel="0" collapsed="false">
      <c r="A139" s="41" t="str">
        <f aca="false">IF(Jobs!$A139="","",Jobs!$A139)</f>
        <v/>
      </c>
      <c r="B139" s="13" t="str">
        <f aca="false">IF(Jobs!$A139="","",Jobs!$E139)</f>
        <v/>
      </c>
      <c r="C139" s="13" t="str">
        <f aca="false">IF(Jobs!$A139="","",Jobs!$F139)</f>
        <v/>
      </c>
      <c r="D139" s="41" t="str">
        <f aca="false">IF(Jobs!$A139="","",Jobs!$P139)</f>
        <v/>
      </c>
      <c r="E139" s="41" t="str">
        <f aca="false">IF(Jobs!$A139="","",Jobs!$S139)</f>
        <v/>
      </c>
      <c r="F139" s="42" t="str">
        <f aca="false">IF(Jobs!$A139="","",Jobs!$T139)</f>
        <v/>
      </c>
      <c r="G139" s="42" t="str">
        <f aca="false">IF(Jobs!$A139="","",Jobs!$U139)</f>
        <v/>
      </c>
      <c r="H139" s="42" t="str">
        <f aca="false">IF(Jobs!$A139="","",Jobs!$V139)</f>
        <v/>
      </c>
      <c r="I139" s="42" t="str">
        <f aca="false">IF(Jobs!$A139="","",Jobs!$X139)</f>
        <v/>
      </c>
      <c r="J139" s="42" t="str">
        <f aca="false">IF(Jobs!$A139="","",Jobs!$Y139)</f>
        <v/>
      </c>
      <c r="K139" s="42" t="str">
        <f aca="false">IF(Jobs!$A139="","",Jobs!$Z139)</f>
        <v/>
      </c>
      <c r="L139" s="41" t="str">
        <f aca="false">IF(Jobs!$A139="","",IF(Jobs!$Z139&lt;&gt;"","Rejected",IF(Jobs!$Y139&lt;&gt;"","Offer",IF(Jobs!$X139&lt;&gt;"","Interview",IF(Jobs!$V139&lt;&gt;"","Responded",IF(Jobs!$U139&lt;&gt;"","Contacted",IF(Jobs!$T139&lt;&gt;"","Applied","Not applied yet")))))))</f>
        <v/>
      </c>
      <c r="M139" s="41" t="str">
        <f aca="false">IF(Jobs!$A139="","",Jobs!$AB139)</f>
        <v/>
      </c>
      <c r="N139" s="42" t="str">
        <f aca="false">IF(Jobs!$A139="","",Jobs!$AA139)</f>
        <v/>
      </c>
    </row>
    <row r="140" customFormat="false" ht="15" hidden="false" customHeight="false" outlineLevel="0" collapsed="false">
      <c r="A140" s="41" t="str">
        <f aca="false">IF(Jobs!$A140="","",Jobs!$A140)</f>
        <v/>
      </c>
      <c r="B140" s="13" t="str">
        <f aca="false">IF(Jobs!$A140="","",Jobs!$E140)</f>
        <v/>
      </c>
      <c r="C140" s="13" t="str">
        <f aca="false">IF(Jobs!$A140="","",Jobs!$F140)</f>
        <v/>
      </c>
      <c r="D140" s="41" t="str">
        <f aca="false">IF(Jobs!$A140="","",Jobs!$P140)</f>
        <v/>
      </c>
      <c r="E140" s="41" t="str">
        <f aca="false">IF(Jobs!$A140="","",Jobs!$S140)</f>
        <v/>
      </c>
      <c r="F140" s="42" t="str">
        <f aca="false">IF(Jobs!$A140="","",Jobs!$T140)</f>
        <v/>
      </c>
      <c r="G140" s="42" t="str">
        <f aca="false">IF(Jobs!$A140="","",Jobs!$U140)</f>
        <v/>
      </c>
      <c r="H140" s="42" t="str">
        <f aca="false">IF(Jobs!$A140="","",Jobs!$V140)</f>
        <v/>
      </c>
      <c r="I140" s="42" t="str">
        <f aca="false">IF(Jobs!$A140="","",Jobs!$X140)</f>
        <v/>
      </c>
      <c r="J140" s="42" t="str">
        <f aca="false">IF(Jobs!$A140="","",Jobs!$Y140)</f>
        <v/>
      </c>
      <c r="K140" s="42" t="str">
        <f aca="false">IF(Jobs!$A140="","",Jobs!$Z140)</f>
        <v/>
      </c>
      <c r="L140" s="41" t="str">
        <f aca="false">IF(Jobs!$A140="","",IF(Jobs!$Z140&lt;&gt;"","Rejected",IF(Jobs!$Y140&lt;&gt;"","Offer",IF(Jobs!$X140&lt;&gt;"","Interview",IF(Jobs!$V140&lt;&gt;"","Responded",IF(Jobs!$U140&lt;&gt;"","Contacted",IF(Jobs!$T140&lt;&gt;"","Applied","Not applied yet")))))))</f>
        <v/>
      </c>
      <c r="M140" s="41" t="str">
        <f aca="false">IF(Jobs!$A140="","",Jobs!$AB140)</f>
        <v/>
      </c>
      <c r="N140" s="42" t="str">
        <f aca="false">IF(Jobs!$A140="","",Jobs!$AA140)</f>
        <v/>
      </c>
    </row>
    <row r="141" customFormat="false" ht="15" hidden="false" customHeight="false" outlineLevel="0" collapsed="false">
      <c r="A141" s="41" t="str">
        <f aca="false">IF(Jobs!$A141="","",Jobs!$A141)</f>
        <v/>
      </c>
      <c r="B141" s="13" t="str">
        <f aca="false">IF(Jobs!$A141="","",Jobs!$E141)</f>
        <v/>
      </c>
      <c r="C141" s="13" t="str">
        <f aca="false">IF(Jobs!$A141="","",Jobs!$F141)</f>
        <v/>
      </c>
      <c r="D141" s="41" t="str">
        <f aca="false">IF(Jobs!$A141="","",Jobs!$P141)</f>
        <v/>
      </c>
      <c r="E141" s="41" t="str">
        <f aca="false">IF(Jobs!$A141="","",Jobs!$S141)</f>
        <v/>
      </c>
      <c r="F141" s="42" t="str">
        <f aca="false">IF(Jobs!$A141="","",Jobs!$T141)</f>
        <v/>
      </c>
      <c r="G141" s="42" t="str">
        <f aca="false">IF(Jobs!$A141="","",Jobs!$U141)</f>
        <v/>
      </c>
      <c r="H141" s="42" t="str">
        <f aca="false">IF(Jobs!$A141="","",Jobs!$V141)</f>
        <v/>
      </c>
      <c r="I141" s="42" t="str">
        <f aca="false">IF(Jobs!$A141="","",Jobs!$X141)</f>
        <v/>
      </c>
      <c r="J141" s="42" t="str">
        <f aca="false">IF(Jobs!$A141="","",Jobs!$Y141)</f>
        <v/>
      </c>
      <c r="K141" s="42" t="str">
        <f aca="false">IF(Jobs!$A141="","",Jobs!$Z141)</f>
        <v/>
      </c>
      <c r="L141" s="41" t="str">
        <f aca="false">IF(Jobs!$A141="","",IF(Jobs!$Z141&lt;&gt;"","Rejected",IF(Jobs!$Y141&lt;&gt;"","Offer",IF(Jobs!$X141&lt;&gt;"","Interview",IF(Jobs!$V141&lt;&gt;"","Responded",IF(Jobs!$U141&lt;&gt;"","Contacted",IF(Jobs!$T141&lt;&gt;"","Applied","Not applied yet")))))))</f>
        <v/>
      </c>
      <c r="M141" s="41" t="str">
        <f aca="false">IF(Jobs!$A141="","",Jobs!$AB141)</f>
        <v/>
      </c>
      <c r="N141" s="42" t="str">
        <f aca="false">IF(Jobs!$A141="","",Jobs!$AA141)</f>
        <v/>
      </c>
    </row>
    <row r="142" customFormat="false" ht="15" hidden="false" customHeight="false" outlineLevel="0" collapsed="false">
      <c r="A142" s="41" t="str">
        <f aca="false">IF(Jobs!$A142="","",Jobs!$A142)</f>
        <v/>
      </c>
      <c r="B142" s="13" t="str">
        <f aca="false">IF(Jobs!$A142="","",Jobs!$E142)</f>
        <v/>
      </c>
      <c r="C142" s="13" t="str">
        <f aca="false">IF(Jobs!$A142="","",Jobs!$F142)</f>
        <v/>
      </c>
      <c r="D142" s="41" t="str">
        <f aca="false">IF(Jobs!$A142="","",Jobs!$P142)</f>
        <v/>
      </c>
      <c r="E142" s="41" t="str">
        <f aca="false">IF(Jobs!$A142="","",Jobs!$S142)</f>
        <v/>
      </c>
      <c r="F142" s="42" t="str">
        <f aca="false">IF(Jobs!$A142="","",Jobs!$T142)</f>
        <v/>
      </c>
      <c r="G142" s="42" t="str">
        <f aca="false">IF(Jobs!$A142="","",Jobs!$U142)</f>
        <v/>
      </c>
      <c r="H142" s="42" t="str">
        <f aca="false">IF(Jobs!$A142="","",Jobs!$V142)</f>
        <v/>
      </c>
      <c r="I142" s="42" t="str">
        <f aca="false">IF(Jobs!$A142="","",Jobs!$X142)</f>
        <v/>
      </c>
      <c r="J142" s="42" t="str">
        <f aca="false">IF(Jobs!$A142="","",Jobs!$Y142)</f>
        <v/>
      </c>
      <c r="K142" s="42" t="str">
        <f aca="false">IF(Jobs!$A142="","",Jobs!$Z142)</f>
        <v/>
      </c>
      <c r="L142" s="41" t="str">
        <f aca="false">IF(Jobs!$A142="","",IF(Jobs!$Z142&lt;&gt;"","Rejected",IF(Jobs!$Y142&lt;&gt;"","Offer",IF(Jobs!$X142&lt;&gt;"","Interview",IF(Jobs!$V142&lt;&gt;"","Responded",IF(Jobs!$U142&lt;&gt;"","Contacted",IF(Jobs!$T142&lt;&gt;"","Applied","Not applied yet")))))))</f>
        <v/>
      </c>
      <c r="M142" s="41" t="str">
        <f aca="false">IF(Jobs!$A142="","",Jobs!$AB142)</f>
        <v/>
      </c>
      <c r="N142" s="42" t="str">
        <f aca="false">IF(Jobs!$A142="","",Jobs!$AA142)</f>
        <v/>
      </c>
    </row>
    <row r="143" customFormat="false" ht="15" hidden="false" customHeight="false" outlineLevel="0" collapsed="false">
      <c r="A143" s="41" t="str">
        <f aca="false">IF(Jobs!$A143="","",Jobs!$A143)</f>
        <v/>
      </c>
      <c r="B143" s="13" t="str">
        <f aca="false">IF(Jobs!$A143="","",Jobs!$E143)</f>
        <v/>
      </c>
      <c r="C143" s="13" t="str">
        <f aca="false">IF(Jobs!$A143="","",Jobs!$F143)</f>
        <v/>
      </c>
      <c r="D143" s="41" t="str">
        <f aca="false">IF(Jobs!$A143="","",Jobs!$P143)</f>
        <v/>
      </c>
      <c r="E143" s="41" t="str">
        <f aca="false">IF(Jobs!$A143="","",Jobs!$S143)</f>
        <v/>
      </c>
      <c r="F143" s="42" t="str">
        <f aca="false">IF(Jobs!$A143="","",Jobs!$T143)</f>
        <v/>
      </c>
      <c r="G143" s="42" t="str">
        <f aca="false">IF(Jobs!$A143="","",Jobs!$U143)</f>
        <v/>
      </c>
      <c r="H143" s="42" t="str">
        <f aca="false">IF(Jobs!$A143="","",Jobs!$V143)</f>
        <v/>
      </c>
      <c r="I143" s="42" t="str">
        <f aca="false">IF(Jobs!$A143="","",Jobs!$X143)</f>
        <v/>
      </c>
      <c r="J143" s="42" t="str">
        <f aca="false">IF(Jobs!$A143="","",Jobs!$Y143)</f>
        <v/>
      </c>
      <c r="K143" s="42" t="str">
        <f aca="false">IF(Jobs!$A143="","",Jobs!$Z143)</f>
        <v/>
      </c>
      <c r="L143" s="41" t="str">
        <f aca="false">IF(Jobs!$A143="","",IF(Jobs!$Z143&lt;&gt;"","Rejected",IF(Jobs!$Y143&lt;&gt;"","Offer",IF(Jobs!$X143&lt;&gt;"","Interview",IF(Jobs!$V143&lt;&gt;"","Responded",IF(Jobs!$U143&lt;&gt;"","Contacted",IF(Jobs!$T143&lt;&gt;"","Applied","Not applied yet")))))))</f>
        <v/>
      </c>
      <c r="M143" s="41" t="str">
        <f aca="false">IF(Jobs!$A143="","",Jobs!$AB143)</f>
        <v/>
      </c>
      <c r="N143" s="42" t="str">
        <f aca="false">IF(Jobs!$A143="","",Jobs!$AA143)</f>
        <v/>
      </c>
    </row>
    <row r="144" customFormat="false" ht="15" hidden="false" customHeight="false" outlineLevel="0" collapsed="false">
      <c r="A144" s="41" t="str">
        <f aca="false">IF(Jobs!$A144="","",Jobs!$A144)</f>
        <v/>
      </c>
      <c r="B144" s="13" t="str">
        <f aca="false">IF(Jobs!$A144="","",Jobs!$E144)</f>
        <v/>
      </c>
      <c r="C144" s="13" t="str">
        <f aca="false">IF(Jobs!$A144="","",Jobs!$F144)</f>
        <v/>
      </c>
      <c r="D144" s="41" t="str">
        <f aca="false">IF(Jobs!$A144="","",Jobs!$P144)</f>
        <v/>
      </c>
      <c r="E144" s="41" t="str">
        <f aca="false">IF(Jobs!$A144="","",Jobs!$S144)</f>
        <v/>
      </c>
      <c r="F144" s="42" t="str">
        <f aca="false">IF(Jobs!$A144="","",Jobs!$T144)</f>
        <v/>
      </c>
      <c r="G144" s="42" t="str">
        <f aca="false">IF(Jobs!$A144="","",Jobs!$U144)</f>
        <v/>
      </c>
      <c r="H144" s="42" t="str">
        <f aca="false">IF(Jobs!$A144="","",Jobs!$V144)</f>
        <v/>
      </c>
      <c r="I144" s="42" t="str">
        <f aca="false">IF(Jobs!$A144="","",Jobs!$X144)</f>
        <v/>
      </c>
      <c r="J144" s="42" t="str">
        <f aca="false">IF(Jobs!$A144="","",Jobs!$Y144)</f>
        <v/>
      </c>
      <c r="K144" s="42" t="str">
        <f aca="false">IF(Jobs!$A144="","",Jobs!$Z144)</f>
        <v/>
      </c>
      <c r="L144" s="41" t="str">
        <f aca="false">IF(Jobs!$A144="","",IF(Jobs!$Z144&lt;&gt;"","Rejected",IF(Jobs!$Y144&lt;&gt;"","Offer",IF(Jobs!$X144&lt;&gt;"","Interview",IF(Jobs!$V144&lt;&gt;"","Responded",IF(Jobs!$U144&lt;&gt;"","Contacted",IF(Jobs!$T144&lt;&gt;"","Applied","Not applied yet")))))))</f>
        <v/>
      </c>
      <c r="M144" s="41" t="str">
        <f aca="false">IF(Jobs!$A144="","",Jobs!$AB144)</f>
        <v/>
      </c>
      <c r="N144" s="42" t="str">
        <f aca="false">IF(Jobs!$A144="","",Jobs!$AA144)</f>
        <v/>
      </c>
    </row>
    <row r="145" customFormat="false" ht="15" hidden="false" customHeight="false" outlineLevel="0" collapsed="false">
      <c r="A145" s="41" t="str">
        <f aca="false">IF(Jobs!$A145="","",Jobs!$A145)</f>
        <v/>
      </c>
      <c r="B145" s="13" t="str">
        <f aca="false">IF(Jobs!$A145="","",Jobs!$E145)</f>
        <v/>
      </c>
      <c r="C145" s="13" t="str">
        <f aca="false">IF(Jobs!$A145="","",Jobs!$F145)</f>
        <v/>
      </c>
      <c r="D145" s="41" t="str">
        <f aca="false">IF(Jobs!$A145="","",Jobs!$P145)</f>
        <v/>
      </c>
      <c r="E145" s="41" t="str">
        <f aca="false">IF(Jobs!$A145="","",Jobs!$S145)</f>
        <v/>
      </c>
      <c r="F145" s="42" t="str">
        <f aca="false">IF(Jobs!$A145="","",Jobs!$T145)</f>
        <v/>
      </c>
      <c r="G145" s="42" t="str">
        <f aca="false">IF(Jobs!$A145="","",Jobs!$U145)</f>
        <v/>
      </c>
      <c r="H145" s="42" t="str">
        <f aca="false">IF(Jobs!$A145="","",Jobs!$V145)</f>
        <v/>
      </c>
      <c r="I145" s="42" t="str">
        <f aca="false">IF(Jobs!$A145="","",Jobs!$X145)</f>
        <v/>
      </c>
      <c r="J145" s="42" t="str">
        <f aca="false">IF(Jobs!$A145="","",Jobs!$Y145)</f>
        <v/>
      </c>
      <c r="K145" s="42" t="str">
        <f aca="false">IF(Jobs!$A145="","",Jobs!$Z145)</f>
        <v/>
      </c>
      <c r="L145" s="41" t="str">
        <f aca="false">IF(Jobs!$A145="","",IF(Jobs!$Z145&lt;&gt;"","Rejected",IF(Jobs!$Y145&lt;&gt;"","Offer",IF(Jobs!$X145&lt;&gt;"","Interview",IF(Jobs!$V145&lt;&gt;"","Responded",IF(Jobs!$U145&lt;&gt;"","Contacted",IF(Jobs!$T145&lt;&gt;"","Applied","Not applied yet")))))))</f>
        <v/>
      </c>
      <c r="M145" s="41" t="str">
        <f aca="false">IF(Jobs!$A145="","",Jobs!$AB145)</f>
        <v/>
      </c>
      <c r="N145" s="42" t="str">
        <f aca="false">IF(Jobs!$A145="","",Jobs!$AA145)</f>
        <v/>
      </c>
    </row>
    <row r="146" customFormat="false" ht="15" hidden="false" customHeight="false" outlineLevel="0" collapsed="false">
      <c r="A146" s="41" t="str">
        <f aca="false">IF(Jobs!$A146="","",Jobs!$A146)</f>
        <v/>
      </c>
      <c r="B146" s="13" t="str">
        <f aca="false">IF(Jobs!$A146="","",Jobs!$E146)</f>
        <v/>
      </c>
      <c r="C146" s="13" t="str">
        <f aca="false">IF(Jobs!$A146="","",Jobs!$F146)</f>
        <v/>
      </c>
      <c r="D146" s="41" t="str">
        <f aca="false">IF(Jobs!$A146="","",Jobs!$P146)</f>
        <v/>
      </c>
      <c r="E146" s="41" t="str">
        <f aca="false">IF(Jobs!$A146="","",Jobs!$S146)</f>
        <v/>
      </c>
      <c r="F146" s="42" t="str">
        <f aca="false">IF(Jobs!$A146="","",Jobs!$T146)</f>
        <v/>
      </c>
      <c r="G146" s="42" t="str">
        <f aca="false">IF(Jobs!$A146="","",Jobs!$U146)</f>
        <v/>
      </c>
      <c r="H146" s="42" t="str">
        <f aca="false">IF(Jobs!$A146="","",Jobs!$V146)</f>
        <v/>
      </c>
      <c r="I146" s="42" t="str">
        <f aca="false">IF(Jobs!$A146="","",Jobs!$X146)</f>
        <v/>
      </c>
      <c r="J146" s="42" t="str">
        <f aca="false">IF(Jobs!$A146="","",Jobs!$Y146)</f>
        <v/>
      </c>
      <c r="K146" s="42" t="str">
        <f aca="false">IF(Jobs!$A146="","",Jobs!$Z146)</f>
        <v/>
      </c>
      <c r="L146" s="41" t="str">
        <f aca="false">IF(Jobs!$A146="","",IF(Jobs!$Z146&lt;&gt;"","Rejected",IF(Jobs!$Y146&lt;&gt;"","Offer",IF(Jobs!$X146&lt;&gt;"","Interview",IF(Jobs!$V146&lt;&gt;"","Responded",IF(Jobs!$U146&lt;&gt;"","Contacted",IF(Jobs!$T146&lt;&gt;"","Applied","Not applied yet")))))))</f>
        <v/>
      </c>
      <c r="M146" s="41" t="str">
        <f aca="false">IF(Jobs!$A146="","",Jobs!$AB146)</f>
        <v/>
      </c>
      <c r="N146" s="42" t="str">
        <f aca="false">IF(Jobs!$A146="","",Jobs!$AA146)</f>
        <v/>
      </c>
    </row>
    <row r="147" customFormat="false" ht="15" hidden="false" customHeight="false" outlineLevel="0" collapsed="false">
      <c r="A147" s="41" t="str">
        <f aca="false">IF(Jobs!$A147="","",Jobs!$A147)</f>
        <v/>
      </c>
      <c r="B147" s="13" t="str">
        <f aca="false">IF(Jobs!$A147="","",Jobs!$E147)</f>
        <v/>
      </c>
      <c r="C147" s="13" t="str">
        <f aca="false">IF(Jobs!$A147="","",Jobs!$F147)</f>
        <v/>
      </c>
      <c r="D147" s="41" t="str">
        <f aca="false">IF(Jobs!$A147="","",Jobs!$P147)</f>
        <v/>
      </c>
      <c r="E147" s="41" t="str">
        <f aca="false">IF(Jobs!$A147="","",Jobs!$S147)</f>
        <v/>
      </c>
      <c r="F147" s="42" t="str">
        <f aca="false">IF(Jobs!$A147="","",Jobs!$T147)</f>
        <v/>
      </c>
      <c r="G147" s="42" t="str">
        <f aca="false">IF(Jobs!$A147="","",Jobs!$U147)</f>
        <v/>
      </c>
      <c r="H147" s="42" t="str">
        <f aca="false">IF(Jobs!$A147="","",Jobs!$V147)</f>
        <v/>
      </c>
      <c r="I147" s="42" t="str">
        <f aca="false">IF(Jobs!$A147="","",Jobs!$X147)</f>
        <v/>
      </c>
      <c r="J147" s="42" t="str">
        <f aca="false">IF(Jobs!$A147="","",Jobs!$Y147)</f>
        <v/>
      </c>
      <c r="K147" s="42" t="str">
        <f aca="false">IF(Jobs!$A147="","",Jobs!$Z147)</f>
        <v/>
      </c>
      <c r="L147" s="41" t="str">
        <f aca="false">IF(Jobs!$A147="","",IF(Jobs!$Z147&lt;&gt;"","Rejected",IF(Jobs!$Y147&lt;&gt;"","Offer",IF(Jobs!$X147&lt;&gt;"","Interview",IF(Jobs!$V147&lt;&gt;"","Responded",IF(Jobs!$U147&lt;&gt;"","Contacted",IF(Jobs!$T147&lt;&gt;"","Applied","Not applied yet")))))))</f>
        <v/>
      </c>
      <c r="M147" s="41" t="str">
        <f aca="false">IF(Jobs!$A147="","",Jobs!$AB147)</f>
        <v/>
      </c>
      <c r="N147" s="42" t="str">
        <f aca="false">IF(Jobs!$A147="","",Jobs!$AA147)</f>
        <v/>
      </c>
    </row>
    <row r="148" customFormat="false" ht="15" hidden="false" customHeight="false" outlineLevel="0" collapsed="false">
      <c r="A148" s="41" t="str">
        <f aca="false">IF(Jobs!$A148="","",Jobs!$A148)</f>
        <v/>
      </c>
      <c r="B148" s="13" t="str">
        <f aca="false">IF(Jobs!$A148="","",Jobs!$E148)</f>
        <v/>
      </c>
      <c r="C148" s="13" t="str">
        <f aca="false">IF(Jobs!$A148="","",Jobs!$F148)</f>
        <v/>
      </c>
      <c r="D148" s="41" t="str">
        <f aca="false">IF(Jobs!$A148="","",Jobs!$P148)</f>
        <v/>
      </c>
      <c r="E148" s="41" t="str">
        <f aca="false">IF(Jobs!$A148="","",Jobs!$S148)</f>
        <v/>
      </c>
      <c r="F148" s="42" t="str">
        <f aca="false">IF(Jobs!$A148="","",Jobs!$T148)</f>
        <v/>
      </c>
      <c r="G148" s="42" t="str">
        <f aca="false">IF(Jobs!$A148="","",Jobs!$U148)</f>
        <v/>
      </c>
      <c r="H148" s="42" t="str">
        <f aca="false">IF(Jobs!$A148="","",Jobs!$V148)</f>
        <v/>
      </c>
      <c r="I148" s="42" t="str">
        <f aca="false">IF(Jobs!$A148="","",Jobs!$X148)</f>
        <v/>
      </c>
      <c r="J148" s="42" t="str">
        <f aca="false">IF(Jobs!$A148="","",Jobs!$Y148)</f>
        <v/>
      </c>
      <c r="K148" s="42" t="str">
        <f aca="false">IF(Jobs!$A148="","",Jobs!$Z148)</f>
        <v/>
      </c>
      <c r="L148" s="41" t="str">
        <f aca="false">IF(Jobs!$A148="","",IF(Jobs!$Z148&lt;&gt;"","Rejected",IF(Jobs!$Y148&lt;&gt;"","Offer",IF(Jobs!$X148&lt;&gt;"","Interview",IF(Jobs!$V148&lt;&gt;"","Responded",IF(Jobs!$U148&lt;&gt;"","Contacted",IF(Jobs!$T148&lt;&gt;"","Applied","Not applied yet")))))))</f>
        <v/>
      </c>
      <c r="M148" s="41" t="str">
        <f aca="false">IF(Jobs!$A148="","",Jobs!$AB148)</f>
        <v/>
      </c>
      <c r="N148" s="42" t="str">
        <f aca="false">IF(Jobs!$A148="","",Jobs!$AA148)</f>
        <v/>
      </c>
    </row>
    <row r="149" customFormat="false" ht="15" hidden="false" customHeight="false" outlineLevel="0" collapsed="false">
      <c r="A149" s="41" t="str">
        <f aca="false">IF(Jobs!$A149="","",Jobs!$A149)</f>
        <v/>
      </c>
      <c r="B149" s="13" t="str">
        <f aca="false">IF(Jobs!$A149="","",Jobs!$E149)</f>
        <v/>
      </c>
      <c r="C149" s="13" t="str">
        <f aca="false">IF(Jobs!$A149="","",Jobs!$F149)</f>
        <v/>
      </c>
      <c r="D149" s="41" t="str">
        <f aca="false">IF(Jobs!$A149="","",Jobs!$P149)</f>
        <v/>
      </c>
      <c r="E149" s="41" t="str">
        <f aca="false">IF(Jobs!$A149="","",Jobs!$S149)</f>
        <v/>
      </c>
      <c r="F149" s="42" t="str">
        <f aca="false">IF(Jobs!$A149="","",Jobs!$T149)</f>
        <v/>
      </c>
      <c r="G149" s="42" t="str">
        <f aca="false">IF(Jobs!$A149="","",Jobs!$U149)</f>
        <v/>
      </c>
      <c r="H149" s="42" t="str">
        <f aca="false">IF(Jobs!$A149="","",Jobs!$V149)</f>
        <v/>
      </c>
      <c r="I149" s="42" t="str">
        <f aca="false">IF(Jobs!$A149="","",Jobs!$X149)</f>
        <v/>
      </c>
      <c r="J149" s="42" t="str">
        <f aca="false">IF(Jobs!$A149="","",Jobs!$Y149)</f>
        <v/>
      </c>
      <c r="K149" s="42" t="str">
        <f aca="false">IF(Jobs!$A149="","",Jobs!$Z149)</f>
        <v/>
      </c>
      <c r="L149" s="41" t="str">
        <f aca="false">IF(Jobs!$A149="","",IF(Jobs!$Z149&lt;&gt;"","Rejected",IF(Jobs!$Y149&lt;&gt;"","Offer",IF(Jobs!$X149&lt;&gt;"","Interview",IF(Jobs!$V149&lt;&gt;"","Responded",IF(Jobs!$U149&lt;&gt;"","Contacted",IF(Jobs!$T149&lt;&gt;"","Applied","Not applied yet")))))))</f>
        <v/>
      </c>
      <c r="M149" s="41" t="str">
        <f aca="false">IF(Jobs!$A149="","",Jobs!$AB149)</f>
        <v/>
      </c>
      <c r="N149" s="42" t="str">
        <f aca="false">IF(Jobs!$A149="","",Jobs!$AA149)</f>
        <v/>
      </c>
    </row>
    <row r="150" customFormat="false" ht="15" hidden="false" customHeight="false" outlineLevel="0" collapsed="false">
      <c r="A150" s="41" t="str">
        <f aca="false">IF(Jobs!$A150="","",Jobs!$A150)</f>
        <v/>
      </c>
      <c r="B150" s="13" t="str">
        <f aca="false">IF(Jobs!$A150="","",Jobs!$E150)</f>
        <v/>
      </c>
      <c r="C150" s="13" t="str">
        <f aca="false">IF(Jobs!$A150="","",Jobs!$F150)</f>
        <v/>
      </c>
      <c r="D150" s="41" t="str">
        <f aca="false">IF(Jobs!$A150="","",Jobs!$P150)</f>
        <v/>
      </c>
      <c r="E150" s="41" t="str">
        <f aca="false">IF(Jobs!$A150="","",Jobs!$S150)</f>
        <v/>
      </c>
      <c r="F150" s="42" t="str">
        <f aca="false">IF(Jobs!$A150="","",Jobs!$T150)</f>
        <v/>
      </c>
      <c r="G150" s="42" t="str">
        <f aca="false">IF(Jobs!$A150="","",Jobs!$U150)</f>
        <v/>
      </c>
      <c r="H150" s="42" t="str">
        <f aca="false">IF(Jobs!$A150="","",Jobs!$V150)</f>
        <v/>
      </c>
      <c r="I150" s="42" t="str">
        <f aca="false">IF(Jobs!$A150="","",Jobs!$X150)</f>
        <v/>
      </c>
      <c r="J150" s="42" t="str">
        <f aca="false">IF(Jobs!$A150="","",Jobs!$Y150)</f>
        <v/>
      </c>
      <c r="K150" s="42" t="str">
        <f aca="false">IF(Jobs!$A150="","",Jobs!$Z150)</f>
        <v/>
      </c>
      <c r="L150" s="41" t="str">
        <f aca="false">IF(Jobs!$A150="","",IF(Jobs!$Z150&lt;&gt;"","Rejected",IF(Jobs!$Y150&lt;&gt;"","Offer",IF(Jobs!$X150&lt;&gt;"","Interview",IF(Jobs!$V150&lt;&gt;"","Responded",IF(Jobs!$U150&lt;&gt;"","Contacted",IF(Jobs!$T150&lt;&gt;"","Applied","Not applied yet")))))))</f>
        <v/>
      </c>
      <c r="M150" s="41" t="str">
        <f aca="false">IF(Jobs!$A150="","",Jobs!$AB150)</f>
        <v/>
      </c>
      <c r="N150" s="42" t="str">
        <f aca="false">IF(Jobs!$A150="","",Jobs!$AA150)</f>
        <v/>
      </c>
    </row>
    <row r="151" customFormat="false" ht="15" hidden="false" customHeight="false" outlineLevel="0" collapsed="false">
      <c r="A151" s="41" t="str">
        <f aca="false">IF(Jobs!$A151="","",Jobs!$A151)</f>
        <v/>
      </c>
      <c r="B151" s="13" t="str">
        <f aca="false">IF(Jobs!$A151="","",Jobs!$E151)</f>
        <v/>
      </c>
      <c r="C151" s="13" t="str">
        <f aca="false">IF(Jobs!$A151="","",Jobs!$F151)</f>
        <v/>
      </c>
      <c r="D151" s="41" t="str">
        <f aca="false">IF(Jobs!$A151="","",Jobs!$P151)</f>
        <v/>
      </c>
      <c r="E151" s="41" t="str">
        <f aca="false">IF(Jobs!$A151="","",Jobs!$S151)</f>
        <v/>
      </c>
      <c r="F151" s="42" t="str">
        <f aca="false">IF(Jobs!$A151="","",Jobs!$T151)</f>
        <v/>
      </c>
      <c r="G151" s="42" t="str">
        <f aca="false">IF(Jobs!$A151="","",Jobs!$U151)</f>
        <v/>
      </c>
      <c r="H151" s="42" t="str">
        <f aca="false">IF(Jobs!$A151="","",Jobs!$V151)</f>
        <v/>
      </c>
      <c r="I151" s="42" t="str">
        <f aca="false">IF(Jobs!$A151="","",Jobs!$X151)</f>
        <v/>
      </c>
      <c r="J151" s="42" t="str">
        <f aca="false">IF(Jobs!$A151="","",Jobs!$Y151)</f>
        <v/>
      </c>
      <c r="K151" s="42" t="str">
        <f aca="false">IF(Jobs!$A151="","",Jobs!$Z151)</f>
        <v/>
      </c>
      <c r="L151" s="41" t="str">
        <f aca="false">IF(Jobs!$A151="","",IF(Jobs!$Z151&lt;&gt;"","Rejected",IF(Jobs!$Y151&lt;&gt;"","Offer",IF(Jobs!$X151&lt;&gt;"","Interview",IF(Jobs!$V151&lt;&gt;"","Responded",IF(Jobs!$U151&lt;&gt;"","Contacted",IF(Jobs!$T151&lt;&gt;"","Applied","Not applied yet")))))))</f>
        <v/>
      </c>
      <c r="M151" s="41" t="str">
        <f aca="false">IF(Jobs!$A151="","",Jobs!$AB151)</f>
        <v/>
      </c>
      <c r="N151" s="42" t="str">
        <f aca="false">IF(Jobs!$A151="","",Jobs!$AA151)</f>
        <v/>
      </c>
    </row>
    <row r="152" customFormat="false" ht="15" hidden="false" customHeight="false" outlineLevel="0" collapsed="false">
      <c r="A152" s="41" t="str">
        <f aca="false">IF(Jobs!$A152="","",Jobs!$A152)</f>
        <v/>
      </c>
      <c r="B152" s="13" t="str">
        <f aca="false">IF(Jobs!$A152="","",Jobs!$E152)</f>
        <v/>
      </c>
      <c r="C152" s="13" t="str">
        <f aca="false">IF(Jobs!$A152="","",Jobs!$F152)</f>
        <v/>
      </c>
      <c r="D152" s="41" t="str">
        <f aca="false">IF(Jobs!$A152="","",Jobs!$P152)</f>
        <v/>
      </c>
      <c r="E152" s="41" t="str">
        <f aca="false">IF(Jobs!$A152="","",Jobs!$S152)</f>
        <v/>
      </c>
      <c r="F152" s="42" t="str">
        <f aca="false">IF(Jobs!$A152="","",Jobs!$T152)</f>
        <v/>
      </c>
      <c r="G152" s="42" t="str">
        <f aca="false">IF(Jobs!$A152="","",Jobs!$U152)</f>
        <v/>
      </c>
      <c r="H152" s="42" t="str">
        <f aca="false">IF(Jobs!$A152="","",Jobs!$V152)</f>
        <v/>
      </c>
      <c r="I152" s="42" t="str">
        <f aca="false">IF(Jobs!$A152="","",Jobs!$X152)</f>
        <v/>
      </c>
      <c r="J152" s="42" t="str">
        <f aca="false">IF(Jobs!$A152="","",Jobs!$Y152)</f>
        <v/>
      </c>
      <c r="K152" s="42" t="str">
        <f aca="false">IF(Jobs!$A152="","",Jobs!$Z152)</f>
        <v/>
      </c>
      <c r="L152" s="41" t="str">
        <f aca="false">IF(Jobs!$A152="","",IF(Jobs!$Z152&lt;&gt;"","Rejected",IF(Jobs!$Y152&lt;&gt;"","Offer",IF(Jobs!$X152&lt;&gt;"","Interview",IF(Jobs!$V152&lt;&gt;"","Responded",IF(Jobs!$U152&lt;&gt;"","Contacted",IF(Jobs!$T152&lt;&gt;"","Applied","Not applied yet")))))))</f>
        <v/>
      </c>
      <c r="M152" s="41" t="str">
        <f aca="false">IF(Jobs!$A152="","",Jobs!$AB152)</f>
        <v/>
      </c>
      <c r="N152" s="42" t="str">
        <f aca="false">IF(Jobs!$A152="","",Jobs!$AA152)</f>
        <v/>
      </c>
    </row>
    <row r="153" customFormat="false" ht="15" hidden="false" customHeight="false" outlineLevel="0" collapsed="false">
      <c r="A153" s="41" t="str">
        <f aca="false">IF(Jobs!$A153="","",Jobs!$A153)</f>
        <v/>
      </c>
      <c r="B153" s="13" t="str">
        <f aca="false">IF(Jobs!$A153="","",Jobs!$E153)</f>
        <v/>
      </c>
      <c r="C153" s="13" t="str">
        <f aca="false">IF(Jobs!$A153="","",Jobs!$F153)</f>
        <v/>
      </c>
      <c r="D153" s="41" t="str">
        <f aca="false">IF(Jobs!$A153="","",Jobs!$P153)</f>
        <v/>
      </c>
      <c r="E153" s="41" t="str">
        <f aca="false">IF(Jobs!$A153="","",Jobs!$S153)</f>
        <v/>
      </c>
      <c r="F153" s="42" t="str">
        <f aca="false">IF(Jobs!$A153="","",Jobs!$T153)</f>
        <v/>
      </c>
      <c r="G153" s="42" t="str">
        <f aca="false">IF(Jobs!$A153="","",Jobs!$U153)</f>
        <v/>
      </c>
      <c r="H153" s="42" t="str">
        <f aca="false">IF(Jobs!$A153="","",Jobs!$V153)</f>
        <v/>
      </c>
      <c r="I153" s="42" t="str">
        <f aca="false">IF(Jobs!$A153="","",Jobs!$X153)</f>
        <v/>
      </c>
      <c r="J153" s="42" t="str">
        <f aca="false">IF(Jobs!$A153="","",Jobs!$Y153)</f>
        <v/>
      </c>
      <c r="K153" s="42" t="str">
        <f aca="false">IF(Jobs!$A153="","",Jobs!$Z153)</f>
        <v/>
      </c>
      <c r="L153" s="41" t="str">
        <f aca="false">IF(Jobs!$A153="","",IF(Jobs!$Z153&lt;&gt;"","Rejected",IF(Jobs!$Y153&lt;&gt;"","Offer",IF(Jobs!$X153&lt;&gt;"","Interview",IF(Jobs!$V153&lt;&gt;"","Responded",IF(Jobs!$U153&lt;&gt;"","Contacted",IF(Jobs!$T153&lt;&gt;"","Applied","Not applied yet")))))))</f>
        <v/>
      </c>
      <c r="M153" s="41" t="str">
        <f aca="false">IF(Jobs!$A153="","",Jobs!$AB153)</f>
        <v/>
      </c>
      <c r="N153" s="42" t="str">
        <f aca="false">IF(Jobs!$A153="","",Jobs!$AA153)</f>
        <v/>
      </c>
    </row>
    <row r="154" customFormat="false" ht="15" hidden="false" customHeight="false" outlineLevel="0" collapsed="false">
      <c r="A154" s="41" t="str">
        <f aca="false">IF(Jobs!$A154="","",Jobs!$A154)</f>
        <v/>
      </c>
      <c r="B154" s="13" t="str">
        <f aca="false">IF(Jobs!$A154="","",Jobs!$E154)</f>
        <v/>
      </c>
      <c r="C154" s="13" t="str">
        <f aca="false">IF(Jobs!$A154="","",Jobs!$F154)</f>
        <v/>
      </c>
      <c r="D154" s="41" t="str">
        <f aca="false">IF(Jobs!$A154="","",Jobs!$P154)</f>
        <v/>
      </c>
      <c r="E154" s="41" t="str">
        <f aca="false">IF(Jobs!$A154="","",Jobs!$S154)</f>
        <v/>
      </c>
      <c r="F154" s="42" t="str">
        <f aca="false">IF(Jobs!$A154="","",Jobs!$T154)</f>
        <v/>
      </c>
      <c r="G154" s="42" t="str">
        <f aca="false">IF(Jobs!$A154="","",Jobs!$U154)</f>
        <v/>
      </c>
      <c r="H154" s="42" t="str">
        <f aca="false">IF(Jobs!$A154="","",Jobs!$V154)</f>
        <v/>
      </c>
      <c r="I154" s="42" t="str">
        <f aca="false">IF(Jobs!$A154="","",Jobs!$X154)</f>
        <v/>
      </c>
      <c r="J154" s="42" t="str">
        <f aca="false">IF(Jobs!$A154="","",Jobs!$Y154)</f>
        <v/>
      </c>
      <c r="K154" s="42" t="str">
        <f aca="false">IF(Jobs!$A154="","",Jobs!$Z154)</f>
        <v/>
      </c>
      <c r="L154" s="41" t="str">
        <f aca="false">IF(Jobs!$A154="","",IF(Jobs!$Z154&lt;&gt;"","Rejected",IF(Jobs!$Y154&lt;&gt;"","Offer",IF(Jobs!$X154&lt;&gt;"","Interview",IF(Jobs!$V154&lt;&gt;"","Responded",IF(Jobs!$U154&lt;&gt;"","Contacted",IF(Jobs!$T154&lt;&gt;"","Applied","Not applied yet")))))))</f>
        <v/>
      </c>
      <c r="M154" s="41" t="str">
        <f aca="false">IF(Jobs!$A154="","",Jobs!$AB154)</f>
        <v/>
      </c>
      <c r="N154" s="42" t="str">
        <f aca="false">IF(Jobs!$A154="","",Jobs!$AA154)</f>
        <v/>
      </c>
    </row>
    <row r="155" customFormat="false" ht="15" hidden="false" customHeight="false" outlineLevel="0" collapsed="false">
      <c r="A155" s="41" t="str">
        <f aca="false">IF(Jobs!$A155="","",Jobs!$A155)</f>
        <v/>
      </c>
      <c r="B155" s="13" t="str">
        <f aca="false">IF(Jobs!$A155="","",Jobs!$E155)</f>
        <v/>
      </c>
      <c r="C155" s="13" t="str">
        <f aca="false">IF(Jobs!$A155="","",Jobs!$F155)</f>
        <v/>
      </c>
      <c r="D155" s="41" t="str">
        <f aca="false">IF(Jobs!$A155="","",Jobs!$P155)</f>
        <v/>
      </c>
      <c r="E155" s="41" t="str">
        <f aca="false">IF(Jobs!$A155="","",Jobs!$S155)</f>
        <v/>
      </c>
      <c r="F155" s="42" t="str">
        <f aca="false">IF(Jobs!$A155="","",Jobs!$T155)</f>
        <v/>
      </c>
      <c r="G155" s="42" t="str">
        <f aca="false">IF(Jobs!$A155="","",Jobs!$U155)</f>
        <v/>
      </c>
      <c r="H155" s="42" t="str">
        <f aca="false">IF(Jobs!$A155="","",Jobs!$V155)</f>
        <v/>
      </c>
      <c r="I155" s="42" t="str">
        <f aca="false">IF(Jobs!$A155="","",Jobs!$X155)</f>
        <v/>
      </c>
      <c r="J155" s="42" t="str">
        <f aca="false">IF(Jobs!$A155="","",Jobs!$Y155)</f>
        <v/>
      </c>
      <c r="K155" s="42" t="str">
        <f aca="false">IF(Jobs!$A155="","",Jobs!$Z155)</f>
        <v/>
      </c>
      <c r="L155" s="41" t="str">
        <f aca="false">IF(Jobs!$A155="","",IF(Jobs!$Z155&lt;&gt;"","Rejected",IF(Jobs!$Y155&lt;&gt;"","Offer",IF(Jobs!$X155&lt;&gt;"","Interview",IF(Jobs!$V155&lt;&gt;"","Responded",IF(Jobs!$U155&lt;&gt;"","Contacted",IF(Jobs!$T155&lt;&gt;"","Applied","Not applied yet")))))))</f>
        <v/>
      </c>
      <c r="M155" s="41" t="str">
        <f aca="false">IF(Jobs!$A155="","",Jobs!$AB155)</f>
        <v/>
      </c>
      <c r="N155" s="42" t="str">
        <f aca="false">IF(Jobs!$A155="","",Jobs!$AA155)</f>
        <v/>
      </c>
    </row>
    <row r="156" customFormat="false" ht="15" hidden="false" customHeight="false" outlineLevel="0" collapsed="false">
      <c r="A156" s="41" t="str">
        <f aca="false">IF(Jobs!$A156="","",Jobs!$A156)</f>
        <v/>
      </c>
      <c r="B156" s="13" t="str">
        <f aca="false">IF(Jobs!$A156="","",Jobs!$E156)</f>
        <v/>
      </c>
      <c r="C156" s="13" t="str">
        <f aca="false">IF(Jobs!$A156="","",Jobs!$F156)</f>
        <v/>
      </c>
      <c r="D156" s="41" t="str">
        <f aca="false">IF(Jobs!$A156="","",Jobs!$P156)</f>
        <v/>
      </c>
      <c r="E156" s="41" t="str">
        <f aca="false">IF(Jobs!$A156="","",Jobs!$S156)</f>
        <v/>
      </c>
      <c r="F156" s="42" t="str">
        <f aca="false">IF(Jobs!$A156="","",Jobs!$T156)</f>
        <v/>
      </c>
      <c r="G156" s="42" t="str">
        <f aca="false">IF(Jobs!$A156="","",Jobs!$U156)</f>
        <v/>
      </c>
      <c r="H156" s="42" t="str">
        <f aca="false">IF(Jobs!$A156="","",Jobs!$V156)</f>
        <v/>
      </c>
      <c r="I156" s="42" t="str">
        <f aca="false">IF(Jobs!$A156="","",Jobs!$X156)</f>
        <v/>
      </c>
      <c r="J156" s="42" t="str">
        <f aca="false">IF(Jobs!$A156="","",Jobs!$Y156)</f>
        <v/>
      </c>
      <c r="K156" s="42" t="str">
        <f aca="false">IF(Jobs!$A156="","",Jobs!$Z156)</f>
        <v/>
      </c>
      <c r="L156" s="41" t="str">
        <f aca="false">IF(Jobs!$A156="","",IF(Jobs!$Z156&lt;&gt;"","Rejected",IF(Jobs!$Y156&lt;&gt;"","Offer",IF(Jobs!$X156&lt;&gt;"","Interview",IF(Jobs!$V156&lt;&gt;"","Responded",IF(Jobs!$U156&lt;&gt;"","Contacted",IF(Jobs!$T156&lt;&gt;"","Applied","Not applied yet")))))))</f>
        <v/>
      </c>
      <c r="M156" s="41" t="str">
        <f aca="false">IF(Jobs!$A156="","",Jobs!$AB156)</f>
        <v/>
      </c>
      <c r="N156" s="42" t="str">
        <f aca="false">IF(Jobs!$A156="","",Jobs!$AA156)</f>
        <v/>
      </c>
    </row>
    <row r="157" customFormat="false" ht="15" hidden="false" customHeight="false" outlineLevel="0" collapsed="false">
      <c r="A157" s="41" t="str">
        <f aca="false">IF(Jobs!$A157="","",Jobs!$A157)</f>
        <v/>
      </c>
      <c r="B157" s="13" t="str">
        <f aca="false">IF(Jobs!$A157="","",Jobs!$E157)</f>
        <v/>
      </c>
      <c r="C157" s="13" t="str">
        <f aca="false">IF(Jobs!$A157="","",Jobs!$F157)</f>
        <v/>
      </c>
      <c r="D157" s="41" t="str">
        <f aca="false">IF(Jobs!$A157="","",Jobs!$P157)</f>
        <v/>
      </c>
      <c r="E157" s="41" t="str">
        <f aca="false">IF(Jobs!$A157="","",Jobs!$S157)</f>
        <v/>
      </c>
      <c r="F157" s="42" t="str">
        <f aca="false">IF(Jobs!$A157="","",Jobs!$T157)</f>
        <v/>
      </c>
      <c r="G157" s="42" t="str">
        <f aca="false">IF(Jobs!$A157="","",Jobs!$U157)</f>
        <v/>
      </c>
      <c r="H157" s="42" t="str">
        <f aca="false">IF(Jobs!$A157="","",Jobs!$V157)</f>
        <v/>
      </c>
      <c r="I157" s="42" t="str">
        <f aca="false">IF(Jobs!$A157="","",Jobs!$X157)</f>
        <v/>
      </c>
      <c r="J157" s="42" t="str">
        <f aca="false">IF(Jobs!$A157="","",Jobs!$Y157)</f>
        <v/>
      </c>
      <c r="K157" s="42" t="str">
        <f aca="false">IF(Jobs!$A157="","",Jobs!$Z157)</f>
        <v/>
      </c>
      <c r="L157" s="41" t="str">
        <f aca="false">IF(Jobs!$A157="","",IF(Jobs!$Z157&lt;&gt;"","Rejected",IF(Jobs!$Y157&lt;&gt;"","Offer",IF(Jobs!$X157&lt;&gt;"","Interview",IF(Jobs!$V157&lt;&gt;"","Responded",IF(Jobs!$U157&lt;&gt;"","Contacted",IF(Jobs!$T157&lt;&gt;"","Applied","Not applied yet")))))))</f>
        <v/>
      </c>
      <c r="M157" s="41" t="str">
        <f aca="false">IF(Jobs!$A157="","",Jobs!$AB157)</f>
        <v/>
      </c>
      <c r="N157" s="42" t="str">
        <f aca="false">IF(Jobs!$A157="","",Jobs!$AA157)</f>
        <v/>
      </c>
    </row>
    <row r="158" customFormat="false" ht="15" hidden="false" customHeight="false" outlineLevel="0" collapsed="false">
      <c r="A158" s="41" t="str">
        <f aca="false">IF(Jobs!$A158="","",Jobs!$A158)</f>
        <v/>
      </c>
      <c r="B158" s="13" t="str">
        <f aca="false">IF(Jobs!$A158="","",Jobs!$E158)</f>
        <v/>
      </c>
      <c r="C158" s="13" t="str">
        <f aca="false">IF(Jobs!$A158="","",Jobs!$F158)</f>
        <v/>
      </c>
      <c r="D158" s="41" t="str">
        <f aca="false">IF(Jobs!$A158="","",Jobs!$P158)</f>
        <v/>
      </c>
      <c r="E158" s="41" t="str">
        <f aca="false">IF(Jobs!$A158="","",Jobs!$S158)</f>
        <v/>
      </c>
      <c r="F158" s="42" t="str">
        <f aca="false">IF(Jobs!$A158="","",Jobs!$T158)</f>
        <v/>
      </c>
      <c r="G158" s="42" t="str">
        <f aca="false">IF(Jobs!$A158="","",Jobs!$U158)</f>
        <v/>
      </c>
      <c r="H158" s="42" t="str">
        <f aca="false">IF(Jobs!$A158="","",Jobs!$V158)</f>
        <v/>
      </c>
      <c r="I158" s="42" t="str">
        <f aca="false">IF(Jobs!$A158="","",Jobs!$X158)</f>
        <v/>
      </c>
      <c r="J158" s="42" t="str">
        <f aca="false">IF(Jobs!$A158="","",Jobs!$Y158)</f>
        <v/>
      </c>
      <c r="K158" s="42" t="str">
        <f aca="false">IF(Jobs!$A158="","",Jobs!$Z158)</f>
        <v/>
      </c>
      <c r="L158" s="41" t="str">
        <f aca="false">IF(Jobs!$A158="","",IF(Jobs!$Z158&lt;&gt;"","Rejected",IF(Jobs!$Y158&lt;&gt;"","Offer",IF(Jobs!$X158&lt;&gt;"","Interview",IF(Jobs!$V158&lt;&gt;"","Responded",IF(Jobs!$U158&lt;&gt;"","Contacted",IF(Jobs!$T158&lt;&gt;"","Applied","Not applied yet")))))))</f>
        <v/>
      </c>
      <c r="M158" s="41" t="str">
        <f aca="false">IF(Jobs!$A158="","",Jobs!$AB158)</f>
        <v/>
      </c>
      <c r="N158" s="42" t="str">
        <f aca="false">IF(Jobs!$A158="","",Jobs!$AA158)</f>
        <v/>
      </c>
    </row>
    <row r="159" customFormat="false" ht="15" hidden="false" customHeight="false" outlineLevel="0" collapsed="false">
      <c r="A159" s="41" t="str">
        <f aca="false">IF(Jobs!$A159="","",Jobs!$A159)</f>
        <v/>
      </c>
      <c r="B159" s="13" t="str">
        <f aca="false">IF(Jobs!$A159="","",Jobs!$E159)</f>
        <v/>
      </c>
      <c r="C159" s="13" t="str">
        <f aca="false">IF(Jobs!$A159="","",Jobs!$F159)</f>
        <v/>
      </c>
      <c r="D159" s="41" t="str">
        <f aca="false">IF(Jobs!$A159="","",Jobs!$P159)</f>
        <v/>
      </c>
      <c r="E159" s="41" t="str">
        <f aca="false">IF(Jobs!$A159="","",Jobs!$S159)</f>
        <v/>
      </c>
      <c r="F159" s="42" t="str">
        <f aca="false">IF(Jobs!$A159="","",Jobs!$T159)</f>
        <v/>
      </c>
      <c r="G159" s="42" t="str">
        <f aca="false">IF(Jobs!$A159="","",Jobs!$U159)</f>
        <v/>
      </c>
      <c r="H159" s="42" t="str">
        <f aca="false">IF(Jobs!$A159="","",Jobs!$V159)</f>
        <v/>
      </c>
      <c r="I159" s="42" t="str">
        <f aca="false">IF(Jobs!$A159="","",Jobs!$X159)</f>
        <v/>
      </c>
      <c r="J159" s="42" t="str">
        <f aca="false">IF(Jobs!$A159="","",Jobs!$Y159)</f>
        <v/>
      </c>
      <c r="K159" s="42" t="str">
        <f aca="false">IF(Jobs!$A159="","",Jobs!$Z159)</f>
        <v/>
      </c>
      <c r="L159" s="41" t="str">
        <f aca="false">IF(Jobs!$A159="","",IF(Jobs!$Z159&lt;&gt;"","Rejected",IF(Jobs!$Y159&lt;&gt;"","Offer",IF(Jobs!$X159&lt;&gt;"","Interview",IF(Jobs!$V159&lt;&gt;"","Responded",IF(Jobs!$U159&lt;&gt;"","Contacted",IF(Jobs!$T159&lt;&gt;"","Applied","Not applied yet")))))))</f>
        <v/>
      </c>
      <c r="M159" s="41" t="str">
        <f aca="false">IF(Jobs!$A159="","",Jobs!$AB159)</f>
        <v/>
      </c>
      <c r="N159" s="42" t="str">
        <f aca="false">IF(Jobs!$A159="","",Jobs!$AA159)</f>
        <v/>
      </c>
    </row>
    <row r="160" customFormat="false" ht="15" hidden="false" customHeight="false" outlineLevel="0" collapsed="false">
      <c r="A160" s="41" t="str">
        <f aca="false">IF(Jobs!$A160="","",Jobs!$A160)</f>
        <v/>
      </c>
      <c r="B160" s="13" t="str">
        <f aca="false">IF(Jobs!$A160="","",Jobs!$E160)</f>
        <v/>
      </c>
      <c r="C160" s="13" t="str">
        <f aca="false">IF(Jobs!$A160="","",Jobs!$F160)</f>
        <v/>
      </c>
      <c r="D160" s="41" t="str">
        <f aca="false">IF(Jobs!$A160="","",Jobs!$P160)</f>
        <v/>
      </c>
      <c r="E160" s="41" t="str">
        <f aca="false">IF(Jobs!$A160="","",Jobs!$S160)</f>
        <v/>
      </c>
      <c r="F160" s="42" t="str">
        <f aca="false">IF(Jobs!$A160="","",Jobs!$T160)</f>
        <v/>
      </c>
      <c r="G160" s="42" t="str">
        <f aca="false">IF(Jobs!$A160="","",Jobs!$U160)</f>
        <v/>
      </c>
      <c r="H160" s="42" t="str">
        <f aca="false">IF(Jobs!$A160="","",Jobs!$V160)</f>
        <v/>
      </c>
      <c r="I160" s="42" t="str">
        <f aca="false">IF(Jobs!$A160="","",Jobs!$X160)</f>
        <v/>
      </c>
      <c r="J160" s="42" t="str">
        <f aca="false">IF(Jobs!$A160="","",Jobs!$Y160)</f>
        <v/>
      </c>
      <c r="K160" s="42" t="str">
        <f aca="false">IF(Jobs!$A160="","",Jobs!$Z160)</f>
        <v/>
      </c>
      <c r="L160" s="41" t="str">
        <f aca="false">IF(Jobs!$A160="","",IF(Jobs!$Z160&lt;&gt;"","Rejected",IF(Jobs!$Y160&lt;&gt;"","Offer",IF(Jobs!$X160&lt;&gt;"","Interview",IF(Jobs!$V160&lt;&gt;"","Responded",IF(Jobs!$U160&lt;&gt;"","Contacted",IF(Jobs!$T160&lt;&gt;"","Applied","Not applied yet")))))))</f>
        <v/>
      </c>
      <c r="M160" s="41" t="str">
        <f aca="false">IF(Jobs!$A160="","",Jobs!$AB160)</f>
        <v/>
      </c>
      <c r="N160" s="42" t="str">
        <f aca="false">IF(Jobs!$A160="","",Jobs!$AA160)</f>
        <v/>
      </c>
    </row>
    <row r="161" customFormat="false" ht="15" hidden="false" customHeight="false" outlineLevel="0" collapsed="false">
      <c r="A161" s="41" t="str">
        <f aca="false">IF(Jobs!$A161="","",Jobs!$A161)</f>
        <v/>
      </c>
      <c r="B161" s="13" t="str">
        <f aca="false">IF(Jobs!$A161="","",Jobs!$E161)</f>
        <v/>
      </c>
      <c r="C161" s="13" t="str">
        <f aca="false">IF(Jobs!$A161="","",Jobs!$F161)</f>
        <v/>
      </c>
      <c r="D161" s="41" t="str">
        <f aca="false">IF(Jobs!$A161="","",Jobs!$P161)</f>
        <v/>
      </c>
      <c r="E161" s="41" t="str">
        <f aca="false">IF(Jobs!$A161="","",Jobs!$S161)</f>
        <v/>
      </c>
      <c r="F161" s="42" t="str">
        <f aca="false">IF(Jobs!$A161="","",Jobs!$T161)</f>
        <v/>
      </c>
      <c r="G161" s="42" t="str">
        <f aca="false">IF(Jobs!$A161="","",Jobs!$U161)</f>
        <v/>
      </c>
      <c r="H161" s="42" t="str">
        <f aca="false">IF(Jobs!$A161="","",Jobs!$V161)</f>
        <v/>
      </c>
      <c r="I161" s="42" t="str">
        <f aca="false">IF(Jobs!$A161="","",Jobs!$X161)</f>
        <v/>
      </c>
      <c r="J161" s="42" t="str">
        <f aca="false">IF(Jobs!$A161="","",Jobs!$Y161)</f>
        <v/>
      </c>
      <c r="K161" s="42" t="str">
        <f aca="false">IF(Jobs!$A161="","",Jobs!$Z161)</f>
        <v/>
      </c>
      <c r="L161" s="41" t="str">
        <f aca="false">IF(Jobs!$A161="","",IF(Jobs!$Z161&lt;&gt;"","Rejected",IF(Jobs!$Y161&lt;&gt;"","Offer",IF(Jobs!$X161&lt;&gt;"","Interview",IF(Jobs!$V161&lt;&gt;"","Responded",IF(Jobs!$U161&lt;&gt;"","Contacted",IF(Jobs!$T161&lt;&gt;"","Applied","Not applied yet")))))))</f>
        <v/>
      </c>
      <c r="M161" s="41" t="str">
        <f aca="false">IF(Jobs!$A161="","",Jobs!$AB161)</f>
        <v/>
      </c>
      <c r="N161" s="42" t="str">
        <f aca="false">IF(Jobs!$A161="","",Jobs!$AA161)</f>
        <v/>
      </c>
    </row>
    <row r="162" customFormat="false" ht="15" hidden="false" customHeight="false" outlineLevel="0" collapsed="false">
      <c r="A162" s="41" t="str">
        <f aca="false">IF(Jobs!$A162="","",Jobs!$A162)</f>
        <v/>
      </c>
      <c r="B162" s="13" t="str">
        <f aca="false">IF(Jobs!$A162="","",Jobs!$E162)</f>
        <v/>
      </c>
      <c r="C162" s="13" t="str">
        <f aca="false">IF(Jobs!$A162="","",Jobs!$F162)</f>
        <v/>
      </c>
      <c r="D162" s="41" t="str">
        <f aca="false">IF(Jobs!$A162="","",Jobs!$P162)</f>
        <v/>
      </c>
      <c r="E162" s="41" t="str">
        <f aca="false">IF(Jobs!$A162="","",Jobs!$S162)</f>
        <v/>
      </c>
      <c r="F162" s="42" t="str">
        <f aca="false">IF(Jobs!$A162="","",Jobs!$T162)</f>
        <v/>
      </c>
      <c r="G162" s="42" t="str">
        <f aca="false">IF(Jobs!$A162="","",Jobs!$U162)</f>
        <v/>
      </c>
      <c r="H162" s="42" t="str">
        <f aca="false">IF(Jobs!$A162="","",Jobs!$V162)</f>
        <v/>
      </c>
      <c r="I162" s="42" t="str">
        <f aca="false">IF(Jobs!$A162="","",Jobs!$X162)</f>
        <v/>
      </c>
      <c r="J162" s="42" t="str">
        <f aca="false">IF(Jobs!$A162="","",Jobs!$Y162)</f>
        <v/>
      </c>
      <c r="K162" s="42" t="str">
        <f aca="false">IF(Jobs!$A162="","",Jobs!$Z162)</f>
        <v/>
      </c>
      <c r="L162" s="41" t="str">
        <f aca="false">IF(Jobs!$A162="","",IF(Jobs!$Z162&lt;&gt;"","Rejected",IF(Jobs!$Y162&lt;&gt;"","Offer",IF(Jobs!$X162&lt;&gt;"","Interview",IF(Jobs!$V162&lt;&gt;"","Responded",IF(Jobs!$U162&lt;&gt;"","Contacted",IF(Jobs!$T162&lt;&gt;"","Applied","Not applied yet")))))))</f>
        <v/>
      </c>
      <c r="M162" s="41" t="str">
        <f aca="false">IF(Jobs!$A162="","",Jobs!$AB162)</f>
        <v/>
      </c>
      <c r="N162" s="42" t="str">
        <f aca="false">IF(Jobs!$A162="","",Jobs!$AA162)</f>
        <v/>
      </c>
    </row>
    <row r="163" customFormat="false" ht="15" hidden="false" customHeight="false" outlineLevel="0" collapsed="false">
      <c r="A163" s="41" t="str">
        <f aca="false">IF(Jobs!$A163="","",Jobs!$A163)</f>
        <v/>
      </c>
      <c r="B163" s="13" t="str">
        <f aca="false">IF(Jobs!$A163="","",Jobs!$E163)</f>
        <v/>
      </c>
      <c r="C163" s="13" t="str">
        <f aca="false">IF(Jobs!$A163="","",Jobs!$F163)</f>
        <v/>
      </c>
      <c r="D163" s="41" t="str">
        <f aca="false">IF(Jobs!$A163="","",Jobs!$P163)</f>
        <v/>
      </c>
      <c r="E163" s="41" t="str">
        <f aca="false">IF(Jobs!$A163="","",Jobs!$S163)</f>
        <v/>
      </c>
      <c r="F163" s="42" t="str">
        <f aca="false">IF(Jobs!$A163="","",Jobs!$T163)</f>
        <v/>
      </c>
      <c r="G163" s="42" t="str">
        <f aca="false">IF(Jobs!$A163="","",Jobs!$U163)</f>
        <v/>
      </c>
      <c r="H163" s="42" t="str">
        <f aca="false">IF(Jobs!$A163="","",Jobs!$V163)</f>
        <v/>
      </c>
      <c r="I163" s="42" t="str">
        <f aca="false">IF(Jobs!$A163="","",Jobs!$X163)</f>
        <v/>
      </c>
      <c r="J163" s="42" t="str">
        <f aca="false">IF(Jobs!$A163="","",Jobs!$Y163)</f>
        <v/>
      </c>
      <c r="K163" s="42" t="str">
        <f aca="false">IF(Jobs!$A163="","",Jobs!$Z163)</f>
        <v/>
      </c>
      <c r="L163" s="41" t="str">
        <f aca="false">IF(Jobs!$A163="","",IF(Jobs!$Z163&lt;&gt;"","Rejected",IF(Jobs!$Y163&lt;&gt;"","Offer",IF(Jobs!$X163&lt;&gt;"","Interview",IF(Jobs!$V163&lt;&gt;"","Responded",IF(Jobs!$U163&lt;&gt;"","Contacted",IF(Jobs!$T163&lt;&gt;"","Applied","Not applied yet")))))))</f>
        <v/>
      </c>
      <c r="M163" s="41" t="str">
        <f aca="false">IF(Jobs!$A163="","",Jobs!$AB163)</f>
        <v/>
      </c>
      <c r="N163" s="42" t="str">
        <f aca="false">IF(Jobs!$A163="","",Jobs!$AA163)</f>
        <v/>
      </c>
    </row>
    <row r="164" customFormat="false" ht="15" hidden="false" customHeight="false" outlineLevel="0" collapsed="false">
      <c r="A164" s="41" t="str">
        <f aca="false">IF(Jobs!$A164="","",Jobs!$A164)</f>
        <v/>
      </c>
      <c r="B164" s="13" t="str">
        <f aca="false">IF(Jobs!$A164="","",Jobs!$E164)</f>
        <v/>
      </c>
      <c r="C164" s="13" t="str">
        <f aca="false">IF(Jobs!$A164="","",Jobs!$F164)</f>
        <v/>
      </c>
      <c r="D164" s="41" t="str">
        <f aca="false">IF(Jobs!$A164="","",Jobs!$P164)</f>
        <v/>
      </c>
      <c r="E164" s="41" t="str">
        <f aca="false">IF(Jobs!$A164="","",Jobs!$S164)</f>
        <v/>
      </c>
      <c r="F164" s="42" t="str">
        <f aca="false">IF(Jobs!$A164="","",Jobs!$T164)</f>
        <v/>
      </c>
      <c r="G164" s="42" t="str">
        <f aca="false">IF(Jobs!$A164="","",Jobs!$U164)</f>
        <v/>
      </c>
      <c r="H164" s="42" t="str">
        <f aca="false">IF(Jobs!$A164="","",Jobs!$V164)</f>
        <v/>
      </c>
      <c r="I164" s="42" t="str">
        <f aca="false">IF(Jobs!$A164="","",Jobs!$X164)</f>
        <v/>
      </c>
      <c r="J164" s="42" t="str">
        <f aca="false">IF(Jobs!$A164="","",Jobs!$Y164)</f>
        <v/>
      </c>
      <c r="K164" s="42" t="str">
        <f aca="false">IF(Jobs!$A164="","",Jobs!$Z164)</f>
        <v/>
      </c>
      <c r="L164" s="41" t="str">
        <f aca="false">IF(Jobs!$A164="","",IF(Jobs!$Z164&lt;&gt;"","Rejected",IF(Jobs!$Y164&lt;&gt;"","Offer",IF(Jobs!$X164&lt;&gt;"","Interview",IF(Jobs!$V164&lt;&gt;"","Responded",IF(Jobs!$U164&lt;&gt;"","Contacted",IF(Jobs!$T164&lt;&gt;"","Applied","Not applied yet")))))))</f>
        <v/>
      </c>
      <c r="M164" s="41" t="str">
        <f aca="false">IF(Jobs!$A164="","",Jobs!$AB164)</f>
        <v/>
      </c>
      <c r="N164" s="42" t="str">
        <f aca="false">IF(Jobs!$A164="","",Jobs!$AA164)</f>
        <v/>
      </c>
    </row>
    <row r="165" customFormat="false" ht="15" hidden="false" customHeight="false" outlineLevel="0" collapsed="false">
      <c r="A165" s="41" t="str">
        <f aca="false">IF(Jobs!$A165="","",Jobs!$A165)</f>
        <v/>
      </c>
      <c r="B165" s="13" t="str">
        <f aca="false">IF(Jobs!$A165="","",Jobs!$E165)</f>
        <v/>
      </c>
      <c r="C165" s="13" t="str">
        <f aca="false">IF(Jobs!$A165="","",Jobs!$F165)</f>
        <v/>
      </c>
      <c r="D165" s="41" t="str">
        <f aca="false">IF(Jobs!$A165="","",Jobs!$P165)</f>
        <v/>
      </c>
      <c r="E165" s="41" t="str">
        <f aca="false">IF(Jobs!$A165="","",Jobs!$S165)</f>
        <v/>
      </c>
      <c r="F165" s="42" t="str">
        <f aca="false">IF(Jobs!$A165="","",Jobs!$T165)</f>
        <v/>
      </c>
      <c r="G165" s="42" t="str">
        <f aca="false">IF(Jobs!$A165="","",Jobs!$U165)</f>
        <v/>
      </c>
      <c r="H165" s="42" t="str">
        <f aca="false">IF(Jobs!$A165="","",Jobs!$V165)</f>
        <v/>
      </c>
      <c r="I165" s="42" t="str">
        <f aca="false">IF(Jobs!$A165="","",Jobs!$X165)</f>
        <v/>
      </c>
      <c r="J165" s="42" t="str">
        <f aca="false">IF(Jobs!$A165="","",Jobs!$Y165)</f>
        <v/>
      </c>
      <c r="K165" s="42" t="str">
        <f aca="false">IF(Jobs!$A165="","",Jobs!$Z165)</f>
        <v/>
      </c>
      <c r="L165" s="41" t="str">
        <f aca="false">IF(Jobs!$A165="","",IF(Jobs!$Z165&lt;&gt;"","Rejected",IF(Jobs!$Y165&lt;&gt;"","Offer",IF(Jobs!$X165&lt;&gt;"","Interview",IF(Jobs!$V165&lt;&gt;"","Responded",IF(Jobs!$U165&lt;&gt;"","Contacted",IF(Jobs!$T165&lt;&gt;"","Applied","Not applied yet")))))))</f>
        <v/>
      </c>
      <c r="M165" s="41" t="str">
        <f aca="false">IF(Jobs!$A165="","",Jobs!$AB165)</f>
        <v/>
      </c>
      <c r="N165" s="42" t="str">
        <f aca="false">IF(Jobs!$A165="","",Jobs!$AA165)</f>
        <v/>
      </c>
    </row>
    <row r="166" customFormat="false" ht="15" hidden="false" customHeight="false" outlineLevel="0" collapsed="false">
      <c r="A166" s="41" t="str">
        <f aca="false">IF(Jobs!$A166="","",Jobs!$A166)</f>
        <v/>
      </c>
      <c r="B166" s="13" t="str">
        <f aca="false">IF(Jobs!$A166="","",Jobs!$E166)</f>
        <v/>
      </c>
      <c r="C166" s="13" t="str">
        <f aca="false">IF(Jobs!$A166="","",Jobs!$F166)</f>
        <v/>
      </c>
      <c r="D166" s="41" t="str">
        <f aca="false">IF(Jobs!$A166="","",Jobs!$P166)</f>
        <v/>
      </c>
      <c r="E166" s="41" t="str">
        <f aca="false">IF(Jobs!$A166="","",Jobs!$S166)</f>
        <v/>
      </c>
      <c r="F166" s="42" t="str">
        <f aca="false">IF(Jobs!$A166="","",Jobs!$T166)</f>
        <v/>
      </c>
      <c r="G166" s="42" t="str">
        <f aca="false">IF(Jobs!$A166="","",Jobs!$U166)</f>
        <v/>
      </c>
      <c r="H166" s="42" t="str">
        <f aca="false">IF(Jobs!$A166="","",Jobs!$V166)</f>
        <v/>
      </c>
      <c r="I166" s="42" t="str">
        <f aca="false">IF(Jobs!$A166="","",Jobs!$X166)</f>
        <v/>
      </c>
      <c r="J166" s="42" t="str">
        <f aca="false">IF(Jobs!$A166="","",Jobs!$Y166)</f>
        <v/>
      </c>
      <c r="K166" s="42" t="str">
        <f aca="false">IF(Jobs!$A166="","",Jobs!$Z166)</f>
        <v/>
      </c>
      <c r="L166" s="41" t="str">
        <f aca="false">IF(Jobs!$A166="","",IF(Jobs!$Z166&lt;&gt;"","Rejected",IF(Jobs!$Y166&lt;&gt;"","Offer",IF(Jobs!$X166&lt;&gt;"","Interview",IF(Jobs!$V166&lt;&gt;"","Responded",IF(Jobs!$U166&lt;&gt;"","Contacted",IF(Jobs!$T166&lt;&gt;"","Applied","Not applied yet")))))))</f>
        <v/>
      </c>
      <c r="M166" s="41" t="str">
        <f aca="false">IF(Jobs!$A166="","",Jobs!$AB166)</f>
        <v/>
      </c>
      <c r="N166" s="42" t="str">
        <f aca="false">IF(Jobs!$A166="","",Jobs!$AA166)</f>
        <v/>
      </c>
    </row>
    <row r="167" customFormat="false" ht="15" hidden="false" customHeight="false" outlineLevel="0" collapsed="false">
      <c r="A167" s="41" t="str">
        <f aca="false">IF(Jobs!$A167="","",Jobs!$A167)</f>
        <v/>
      </c>
      <c r="B167" s="13" t="str">
        <f aca="false">IF(Jobs!$A167="","",Jobs!$E167)</f>
        <v/>
      </c>
      <c r="C167" s="13" t="str">
        <f aca="false">IF(Jobs!$A167="","",Jobs!$F167)</f>
        <v/>
      </c>
      <c r="D167" s="41" t="str">
        <f aca="false">IF(Jobs!$A167="","",Jobs!$P167)</f>
        <v/>
      </c>
      <c r="E167" s="41" t="str">
        <f aca="false">IF(Jobs!$A167="","",Jobs!$S167)</f>
        <v/>
      </c>
      <c r="F167" s="42" t="str">
        <f aca="false">IF(Jobs!$A167="","",Jobs!$T167)</f>
        <v/>
      </c>
      <c r="G167" s="42" t="str">
        <f aca="false">IF(Jobs!$A167="","",Jobs!$U167)</f>
        <v/>
      </c>
      <c r="H167" s="42" t="str">
        <f aca="false">IF(Jobs!$A167="","",Jobs!$V167)</f>
        <v/>
      </c>
      <c r="I167" s="42" t="str">
        <f aca="false">IF(Jobs!$A167="","",Jobs!$X167)</f>
        <v/>
      </c>
      <c r="J167" s="42" t="str">
        <f aca="false">IF(Jobs!$A167="","",Jobs!$Y167)</f>
        <v/>
      </c>
      <c r="K167" s="42" t="str">
        <f aca="false">IF(Jobs!$A167="","",Jobs!$Z167)</f>
        <v/>
      </c>
      <c r="L167" s="41" t="str">
        <f aca="false">IF(Jobs!$A167="","",IF(Jobs!$Z167&lt;&gt;"","Rejected",IF(Jobs!$Y167&lt;&gt;"","Offer",IF(Jobs!$X167&lt;&gt;"","Interview",IF(Jobs!$V167&lt;&gt;"","Responded",IF(Jobs!$U167&lt;&gt;"","Contacted",IF(Jobs!$T167&lt;&gt;"","Applied","Not applied yet")))))))</f>
        <v/>
      </c>
      <c r="M167" s="41" t="str">
        <f aca="false">IF(Jobs!$A167="","",Jobs!$AB167)</f>
        <v/>
      </c>
      <c r="N167" s="42" t="str">
        <f aca="false">IF(Jobs!$A167="","",Jobs!$AA167)</f>
        <v/>
      </c>
    </row>
    <row r="168" customFormat="false" ht="15" hidden="false" customHeight="false" outlineLevel="0" collapsed="false">
      <c r="A168" s="41" t="str">
        <f aca="false">IF(Jobs!$A168="","",Jobs!$A168)</f>
        <v/>
      </c>
      <c r="B168" s="13" t="str">
        <f aca="false">IF(Jobs!$A168="","",Jobs!$E168)</f>
        <v/>
      </c>
      <c r="C168" s="13" t="str">
        <f aca="false">IF(Jobs!$A168="","",Jobs!$F168)</f>
        <v/>
      </c>
      <c r="D168" s="41" t="str">
        <f aca="false">IF(Jobs!$A168="","",Jobs!$P168)</f>
        <v/>
      </c>
      <c r="E168" s="41" t="str">
        <f aca="false">IF(Jobs!$A168="","",Jobs!$S168)</f>
        <v/>
      </c>
      <c r="F168" s="42" t="str">
        <f aca="false">IF(Jobs!$A168="","",Jobs!$T168)</f>
        <v/>
      </c>
      <c r="G168" s="42" t="str">
        <f aca="false">IF(Jobs!$A168="","",Jobs!$U168)</f>
        <v/>
      </c>
      <c r="H168" s="42" t="str">
        <f aca="false">IF(Jobs!$A168="","",Jobs!$V168)</f>
        <v/>
      </c>
      <c r="I168" s="42" t="str">
        <f aca="false">IF(Jobs!$A168="","",Jobs!$X168)</f>
        <v/>
      </c>
      <c r="J168" s="42" t="str">
        <f aca="false">IF(Jobs!$A168="","",Jobs!$Y168)</f>
        <v/>
      </c>
      <c r="K168" s="42" t="str">
        <f aca="false">IF(Jobs!$A168="","",Jobs!$Z168)</f>
        <v/>
      </c>
      <c r="L168" s="41" t="str">
        <f aca="false">IF(Jobs!$A168="","",IF(Jobs!$Z168&lt;&gt;"","Rejected",IF(Jobs!$Y168&lt;&gt;"","Offer",IF(Jobs!$X168&lt;&gt;"","Interview",IF(Jobs!$V168&lt;&gt;"","Responded",IF(Jobs!$U168&lt;&gt;"","Contacted",IF(Jobs!$T168&lt;&gt;"","Applied","Not applied yet")))))))</f>
        <v/>
      </c>
      <c r="M168" s="41" t="str">
        <f aca="false">IF(Jobs!$A168="","",Jobs!$AB168)</f>
        <v/>
      </c>
      <c r="N168" s="42" t="str">
        <f aca="false">IF(Jobs!$A168="","",Jobs!$AA168)</f>
        <v/>
      </c>
    </row>
    <row r="169" customFormat="false" ht="15" hidden="false" customHeight="false" outlineLevel="0" collapsed="false">
      <c r="A169" s="41" t="str">
        <f aca="false">IF(Jobs!$A169="","",Jobs!$A169)</f>
        <v/>
      </c>
      <c r="B169" s="13" t="str">
        <f aca="false">IF(Jobs!$A169="","",Jobs!$E169)</f>
        <v/>
      </c>
      <c r="C169" s="13" t="str">
        <f aca="false">IF(Jobs!$A169="","",Jobs!$F169)</f>
        <v/>
      </c>
      <c r="D169" s="41" t="str">
        <f aca="false">IF(Jobs!$A169="","",Jobs!$P169)</f>
        <v/>
      </c>
      <c r="E169" s="41" t="str">
        <f aca="false">IF(Jobs!$A169="","",Jobs!$S169)</f>
        <v/>
      </c>
      <c r="F169" s="42" t="str">
        <f aca="false">IF(Jobs!$A169="","",Jobs!$T169)</f>
        <v/>
      </c>
      <c r="G169" s="42" t="str">
        <f aca="false">IF(Jobs!$A169="","",Jobs!$U169)</f>
        <v/>
      </c>
      <c r="H169" s="42" t="str">
        <f aca="false">IF(Jobs!$A169="","",Jobs!$V169)</f>
        <v/>
      </c>
      <c r="I169" s="42" t="str">
        <f aca="false">IF(Jobs!$A169="","",Jobs!$X169)</f>
        <v/>
      </c>
      <c r="J169" s="42" t="str">
        <f aca="false">IF(Jobs!$A169="","",Jobs!$Y169)</f>
        <v/>
      </c>
      <c r="K169" s="42" t="str">
        <f aca="false">IF(Jobs!$A169="","",Jobs!$Z169)</f>
        <v/>
      </c>
      <c r="L169" s="41" t="str">
        <f aca="false">IF(Jobs!$A169="","",IF(Jobs!$Z169&lt;&gt;"","Rejected",IF(Jobs!$Y169&lt;&gt;"","Offer",IF(Jobs!$X169&lt;&gt;"","Interview",IF(Jobs!$V169&lt;&gt;"","Responded",IF(Jobs!$U169&lt;&gt;"","Contacted",IF(Jobs!$T169&lt;&gt;"","Applied","Not applied yet")))))))</f>
        <v/>
      </c>
      <c r="M169" s="41" t="str">
        <f aca="false">IF(Jobs!$A169="","",Jobs!$AB169)</f>
        <v/>
      </c>
      <c r="N169" s="42" t="str">
        <f aca="false">IF(Jobs!$A169="","",Jobs!$AA169)</f>
        <v/>
      </c>
    </row>
    <row r="170" customFormat="false" ht="15" hidden="false" customHeight="false" outlineLevel="0" collapsed="false">
      <c r="A170" s="41" t="str">
        <f aca="false">IF(Jobs!$A170="","",Jobs!$A170)</f>
        <v/>
      </c>
      <c r="B170" s="13" t="str">
        <f aca="false">IF(Jobs!$A170="","",Jobs!$E170)</f>
        <v/>
      </c>
      <c r="C170" s="13" t="str">
        <f aca="false">IF(Jobs!$A170="","",Jobs!$F170)</f>
        <v/>
      </c>
      <c r="D170" s="41" t="str">
        <f aca="false">IF(Jobs!$A170="","",Jobs!$P170)</f>
        <v/>
      </c>
      <c r="E170" s="41" t="str">
        <f aca="false">IF(Jobs!$A170="","",Jobs!$S170)</f>
        <v/>
      </c>
      <c r="F170" s="42" t="str">
        <f aca="false">IF(Jobs!$A170="","",Jobs!$T170)</f>
        <v/>
      </c>
      <c r="G170" s="42" t="str">
        <f aca="false">IF(Jobs!$A170="","",Jobs!$U170)</f>
        <v/>
      </c>
      <c r="H170" s="42" t="str">
        <f aca="false">IF(Jobs!$A170="","",Jobs!$V170)</f>
        <v/>
      </c>
      <c r="I170" s="42" t="str">
        <f aca="false">IF(Jobs!$A170="","",Jobs!$X170)</f>
        <v/>
      </c>
      <c r="J170" s="42" t="str">
        <f aca="false">IF(Jobs!$A170="","",Jobs!$Y170)</f>
        <v/>
      </c>
      <c r="K170" s="42" t="str">
        <f aca="false">IF(Jobs!$A170="","",Jobs!$Z170)</f>
        <v/>
      </c>
      <c r="L170" s="41" t="str">
        <f aca="false">IF(Jobs!$A170="","",IF(Jobs!$Z170&lt;&gt;"","Rejected",IF(Jobs!$Y170&lt;&gt;"","Offer",IF(Jobs!$X170&lt;&gt;"","Interview",IF(Jobs!$V170&lt;&gt;"","Responded",IF(Jobs!$U170&lt;&gt;"","Contacted",IF(Jobs!$T170&lt;&gt;"","Applied","Not applied yet")))))))</f>
        <v/>
      </c>
      <c r="M170" s="41" t="str">
        <f aca="false">IF(Jobs!$A170="","",Jobs!$AB170)</f>
        <v/>
      </c>
      <c r="N170" s="42" t="str">
        <f aca="false">IF(Jobs!$A170="","",Jobs!$AA170)</f>
        <v/>
      </c>
    </row>
    <row r="171" customFormat="false" ht="15" hidden="false" customHeight="false" outlineLevel="0" collapsed="false">
      <c r="A171" s="41" t="str">
        <f aca="false">IF(Jobs!$A171="","",Jobs!$A171)</f>
        <v/>
      </c>
      <c r="B171" s="13" t="str">
        <f aca="false">IF(Jobs!$A171="","",Jobs!$E171)</f>
        <v/>
      </c>
      <c r="C171" s="13" t="str">
        <f aca="false">IF(Jobs!$A171="","",Jobs!$F171)</f>
        <v/>
      </c>
      <c r="D171" s="41" t="str">
        <f aca="false">IF(Jobs!$A171="","",Jobs!$P171)</f>
        <v/>
      </c>
      <c r="E171" s="41" t="str">
        <f aca="false">IF(Jobs!$A171="","",Jobs!$S171)</f>
        <v/>
      </c>
      <c r="F171" s="42" t="str">
        <f aca="false">IF(Jobs!$A171="","",Jobs!$T171)</f>
        <v/>
      </c>
      <c r="G171" s="42" t="str">
        <f aca="false">IF(Jobs!$A171="","",Jobs!$U171)</f>
        <v/>
      </c>
      <c r="H171" s="42" t="str">
        <f aca="false">IF(Jobs!$A171="","",Jobs!$V171)</f>
        <v/>
      </c>
      <c r="I171" s="42" t="str">
        <f aca="false">IF(Jobs!$A171="","",Jobs!$X171)</f>
        <v/>
      </c>
      <c r="J171" s="42" t="str">
        <f aca="false">IF(Jobs!$A171="","",Jobs!$Y171)</f>
        <v/>
      </c>
      <c r="K171" s="42" t="str">
        <f aca="false">IF(Jobs!$A171="","",Jobs!$Z171)</f>
        <v/>
      </c>
      <c r="L171" s="41" t="str">
        <f aca="false">IF(Jobs!$A171="","",IF(Jobs!$Z171&lt;&gt;"","Rejected",IF(Jobs!$Y171&lt;&gt;"","Offer",IF(Jobs!$X171&lt;&gt;"","Interview",IF(Jobs!$V171&lt;&gt;"","Responded",IF(Jobs!$U171&lt;&gt;"","Contacted",IF(Jobs!$T171&lt;&gt;"","Applied","Not applied yet")))))))</f>
        <v/>
      </c>
      <c r="M171" s="41" t="str">
        <f aca="false">IF(Jobs!$A171="","",Jobs!$AB171)</f>
        <v/>
      </c>
      <c r="N171" s="42" t="str">
        <f aca="false">IF(Jobs!$A171="","",Jobs!$AA171)</f>
        <v/>
      </c>
    </row>
    <row r="172" customFormat="false" ht="15" hidden="false" customHeight="false" outlineLevel="0" collapsed="false">
      <c r="A172" s="41" t="str">
        <f aca="false">IF(Jobs!$A172="","",Jobs!$A172)</f>
        <v/>
      </c>
      <c r="B172" s="13" t="str">
        <f aca="false">IF(Jobs!$A172="","",Jobs!$E172)</f>
        <v/>
      </c>
      <c r="C172" s="13" t="str">
        <f aca="false">IF(Jobs!$A172="","",Jobs!$F172)</f>
        <v/>
      </c>
      <c r="D172" s="41" t="str">
        <f aca="false">IF(Jobs!$A172="","",Jobs!$P172)</f>
        <v/>
      </c>
      <c r="E172" s="41" t="str">
        <f aca="false">IF(Jobs!$A172="","",Jobs!$S172)</f>
        <v/>
      </c>
      <c r="F172" s="42" t="str">
        <f aca="false">IF(Jobs!$A172="","",Jobs!$T172)</f>
        <v/>
      </c>
      <c r="G172" s="42" t="str">
        <f aca="false">IF(Jobs!$A172="","",Jobs!$U172)</f>
        <v/>
      </c>
      <c r="H172" s="42" t="str">
        <f aca="false">IF(Jobs!$A172="","",Jobs!$V172)</f>
        <v/>
      </c>
      <c r="I172" s="42" t="str">
        <f aca="false">IF(Jobs!$A172="","",Jobs!$X172)</f>
        <v/>
      </c>
      <c r="J172" s="42" t="str">
        <f aca="false">IF(Jobs!$A172="","",Jobs!$Y172)</f>
        <v/>
      </c>
      <c r="K172" s="42" t="str">
        <f aca="false">IF(Jobs!$A172="","",Jobs!$Z172)</f>
        <v/>
      </c>
      <c r="L172" s="41" t="str">
        <f aca="false">IF(Jobs!$A172="","",IF(Jobs!$Z172&lt;&gt;"","Rejected",IF(Jobs!$Y172&lt;&gt;"","Offer",IF(Jobs!$X172&lt;&gt;"","Interview",IF(Jobs!$V172&lt;&gt;"","Responded",IF(Jobs!$U172&lt;&gt;"","Contacted",IF(Jobs!$T172&lt;&gt;"","Applied","Not applied yet")))))))</f>
        <v/>
      </c>
      <c r="M172" s="41" t="str">
        <f aca="false">IF(Jobs!$A172="","",Jobs!$AB172)</f>
        <v/>
      </c>
      <c r="N172" s="42" t="str">
        <f aca="false">IF(Jobs!$A172="","",Jobs!$AA172)</f>
        <v/>
      </c>
    </row>
    <row r="173" customFormat="false" ht="15" hidden="false" customHeight="false" outlineLevel="0" collapsed="false">
      <c r="A173" s="41" t="str">
        <f aca="false">IF(Jobs!$A173="","",Jobs!$A173)</f>
        <v/>
      </c>
      <c r="B173" s="13" t="str">
        <f aca="false">IF(Jobs!$A173="","",Jobs!$E173)</f>
        <v/>
      </c>
      <c r="C173" s="13" t="str">
        <f aca="false">IF(Jobs!$A173="","",Jobs!$F173)</f>
        <v/>
      </c>
      <c r="D173" s="41" t="str">
        <f aca="false">IF(Jobs!$A173="","",Jobs!$P173)</f>
        <v/>
      </c>
      <c r="E173" s="41" t="str">
        <f aca="false">IF(Jobs!$A173="","",Jobs!$S173)</f>
        <v/>
      </c>
      <c r="F173" s="42" t="str">
        <f aca="false">IF(Jobs!$A173="","",Jobs!$T173)</f>
        <v/>
      </c>
      <c r="G173" s="42" t="str">
        <f aca="false">IF(Jobs!$A173="","",Jobs!$U173)</f>
        <v/>
      </c>
      <c r="H173" s="42" t="str">
        <f aca="false">IF(Jobs!$A173="","",Jobs!$V173)</f>
        <v/>
      </c>
      <c r="I173" s="42" t="str">
        <f aca="false">IF(Jobs!$A173="","",Jobs!$X173)</f>
        <v/>
      </c>
      <c r="J173" s="42" t="str">
        <f aca="false">IF(Jobs!$A173="","",Jobs!$Y173)</f>
        <v/>
      </c>
      <c r="K173" s="42" t="str">
        <f aca="false">IF(Jobs!$A173="","",Jobs!$Z173)</f>
        <v/>
      </c>
      <c r="L173" s="41" t="str">
        <f aca="false">IF(Jobs!$A173="","",IF(Jobs!$Z173&lt;&gt;"","Rejected",IF(Jobs!$Y173&lt;&gt;"","Offer",IF(Jobs!$X173&lt;&gt;"","Interview",IF(Jobs!$V173&lt;&gt;"","Responded",IF(Jobs!$U173&lt;&gt;"","Contacted",IF(Jobs!$T173&lt;&gt;"","Applied","Not applied yet")))))))</f>
        <v/>
      </c>
      <c r="M173" s="41" t="str">
        <f aca="false">IF(Jobs!$A173="","",Jobs!$AB173)</f>
        <v/>
      </c>
      <c r="N173" s="42" t="str">
        <f aca="false">IF(Jobs!$A173="","",Jobs!$AA173)</f>
        <v/>
      </c>
    </row>
    <row r="174" customFormat="false" ht="15" hidden="false" customHeight="false" outlineLevel="0" collapsed="false">
      <c r="A174" s="41" t="str">
        <f aca="false">IF(Jobs!$A174="","",Jobs!$A174)</f>
        <v/>
      </c>
      <c r="B174" s="13" t="str">
        <f aca="false">IF(Jobs!$A174="","",Jobs!$E174)</f>
        <v/>
      </c>
      <c r="C174" s="13" t="str">
        <f aca="false">IF(Jobs!$A174="","",Jobs!$F174)</f>
        <v/>
      </c>
      <c r="D174" s="41" t="str">
        <f aca="false">IF(Jobs!$A174="","",Jobs!$P174)</f>
        <v/>
      </c>
      <c r="E174" s="41" t="str">
        <f aca="false">IF(Jobs!$A174="","",Jobs!$S174)</f>
        <v/>
      </c>
      <c r="F174" s="42" t="str">
        <f aca="false">IF(Jobs!$A174="","",Jobs!$T174)</f>
        <v/>
      </c>
      <c r="G174" s="42" t="str">
        <f aca="false">IF(Jobs!$A174="","",Jobs!$U174)</f>
        <v/>
      </c>
      <c r="H174" s="42" t="str">
        <f aca="false">IF(Jobs!$A174="","",Jobs!$V174)</f>
        <v/>
      </c>
      <c r="I174" s="42" t="str">
        <f aca="false">IF(Jobs!$A174="","",Jobs!$X174)</f>
        <v/>
      </c>
      <c r="J174" s="42" t="str">
        <f aca="false">IF(Jobs!$A174="","",Jobs!$Y174)</f>
        <v/>
      </c>
      <c r="K174" s="42" t="str">
        <f aca="false">IF(Jobs!$A174="","",Jobs!$Z174)</f>
        <v/>
      </c>
      <c r="L174" s="41" t="str">
        <f aca="false">IF(Jobs!$A174="","",IF(Jobs!$Z174&lt;&gt;"","Rejected",IF(Jobs!$Y174&lt;&gt;"","Offer",IF(Jobs!$X174&lt;&gt;"","Interview",IF(Jobs!$V174&lt;&gt;"","Responded",IF(Jobs!$U174&lt;&gt;"","Contacted",IF(Jobs!$T174&lt;&gt;"","Applied","Not applied yet")))))))</f>
        <v/>
      </c>
      <c r="M174" s="41" t="str">
        <f aca="false">IF(Jobs!$A174="","",Jobs!$AB174)</f>
        <v/>
      </c>
      <c r="N174" s="42" t="str">
        <f aca="false">IF(Jobs!$A174="","",Jobs!$AA174)</f>
        <v/>
      </c>
    </row>
    <row r="175" customFormat="false" ht="15" hidden="false" customHeight="false" outlineLevel="0" collapsed="false">
      <c r="A175" s="41" t="str">
        <f aca="false">IF(Jobs!$A175="","",Jobs!$A175)</f>
        <v/>
      </c>
      <c r="B175" s="13" t="str">
        <f aca="false">IF(Jobs!$A175="","",Jobs!$E175)</f>
        <v/>
      </c>
      <c r="C175" s="13" t="str">
        <f aca="false">IF(Jobs!$A175="","",Jobs!$F175)</f>
        <v/>
      </c>
      <c r="D175" s="41" t="str">
        <f aca="false">IF(Jobs!$A175="","",Jobs!$P175)</f>
        <v/>
      </c>
      <c r="E175" s="41" t="str">
        <f aca="false">IF(Jobs!$A175="","",Jobs!$S175)</f>
        <v/>
      </c>
      <c r="F175" s="42" t="str">
        <f aca="false">IF(Jobs!$A175="","",Jobs!$T175)</f>
        <v/>
      </c>
      <c r="G175" s="42" t="str">
        <f aca="false">IF(Jobs!$A175="","",Jobs!$U175)</f>
        <v/>
      </c>
      <c r="H175" s="42" t="str">
        <f aca="false">IF(Jobs!$A175="","",Jobs!$V175)</f>
        <v/>
      </c>
      <c r="I175" s="42" t="str">
        <f aca="false">IF(Jobs!$A175="","",Jobs!$X175)</f>
        <v/>
      </c>
      <c r="J175" s="42" t="str">
        <f aca="false">IF(Jobs!$A175="","",Jobs!$Y175)</f>
        <v/>
      </c>
      <c r="K175" s="42" t="str">
        <f aca="false">IF(Jobs!$A175="","",Jobs!$Z175)</f>
        <v/>
      </c>
      <c r="L175" s="41" t="str">
        <f aca="false">IF(Jobs!$A175="","",IF(Jobs!$Z175&lt;&gt;"","Rejected",IF(Jobs!$Y175&lt;&gt;"","Offer",IF(Jobs!$X175&lt;&gt;"","Interview",IF(Jobs!$V175&lt;&gt;"","Responded",IF(Jobs!$U175&lt;&gt;"","Contacted",IF(Jobs!$T175&lt;&gt;"","Applied","Not applied yet")))))))</f>
        <v/>
      </c>
      <c r="M175" s="41" t="str">
        <f aca="false">IF(Jobs!$A175="","",Jobs!$AB175)</f>
        <v/>
      </c>
      <c r="N175" s="42" t="str">
        <f aca="false">IF(Jobs!$A175="","",Jobs!$AA175)</f>
        <v/>
      </c>
    </row>
    <row r="176" customFormat="false" ht="15" hidden="false" customHeight="false" outlineLevel="0" collapsed="false">
      <c r="A176" s="41" t="str">
        <f aca="false">IF(Jobs!$A176="","",Jobs!$A176)</f>
        <v/>
      </c>
      <c r="B176" s="13" t="str">
        <f aca="false">IF(Jobs!$A176="","",Jobs!$E176)</f>
        <v/>
      </c>
      <c r="C176" s="13" t="str">
        <f aca="false">IF(Jobs!$A176="","",Jobs!$F176)</f>
        <v/>
      </c>
      <c r="D176" s="41" t="str">
        <f aca="false">IF(Jobs!$A176="","",Jobs!$P176)</f>
        <v/>
      </c>
      <c r="E176" s="41" t="str">
        <f aca="false">IF(Jobs!$A176="","",Jobs!$S176)</f>
        <v/>
      </c>
      <c r="F176" s="42" t="str">
        <f aca="false">IF(Jobs!$A176="","",Jobs!$T176)</f>
        <v/>
      </c>
      <c r="G176" s="42" t="str">
        <f aca="false">IF(Jobs!$A176="","",Jobs!$U176)</f>
        <v/>
      </c>
      <c r="H176" s="42" t="str">
        <f aca="false">IF(Jobs!$A176="","",Jobs!$V176)</f>
        <v/>
      </c>
      <c r="I176" s="42" t="str">
        <f aca="false">IF(Jobs!$A176="","",Jobs!$X176)</f>
        <v/>
      </c>
      <c r="J176" s="42" t="str">
        <f aca="false">IF(Jobs!$A176="","",Jobs!$Y176)</f>
        <v/>
      </c>
      <c r="K176" s="42" t="str">
        <f aca="false">IF(Jobs!$A176="","",Jobs!$Z176)</f>
        <v/>
      </c>
      <c r="L176" s="41" t="str">
        <f aca="false">IF(Jobs!$A176="","",IF(Jobs!$Z176&lt;&gt;"","Rejected",IF(Jobs!$Y176&lt;&gt;"","Offer",IF(Jobs!$X176&lt;&gt;"","Interview",IF(Jobs!$V176&lt;&gt;"","Responded",IF(Jobs!$U176&lt;&gt;"","Contacted",IF(Jobs!$T176&lt;&gt;"","Applied","Not applied yet")))))))</f>
        <v/>
      </c>
      <c r="M176" s="41" t="str">
        <f aca="false">IF(Jobs!$A176="","",Jobs!$AB176)</f>
        <v/>
      </c>
      <c r="N176" s="42" t="str">
        <f aca="false">IF(Jobs!$A176="","",Jobs!$AA176)</f>
        <v/>
      </c>
    </row>
    <row r="177" customFormat="false" ht="15" hidden="false" customHeight="false" outlineLevel="0" collapsed="false">
      <c r="A177" s="41" t="str">
        <f aca="false">IF(Jobs!$A177="","",Jobs!$A177)</f>
        <v/>
      </c>
      <c r="B177" s="13" t="str">
        <f aca="false">IF(Jobs!$A177="","",Jobs!$E177)</f>
        <v/>
      </c>
      <c r="C177" s="13" t="str">
        <f aca="false">IF(Jobs!$A177="","",Jobs!$F177)</f>
        <v/>
      </c>
      <c r="D177" s="41" t="str">
        <f aca="false">IF(Jobs!$A177="","",Jobs!$P177)</f>
        <v/>
      </c>
      <c r="E177" s="41" t="str">
        <f aca="false">IF(Jobs!$A177="","",Jobs!$S177)</f>
        <v/>
      </c>
      <c r="F177" s="42" t="str">
        <f aca="false">IF(Jobs!$A177="","",Jobs!$T177)</f>
        <v/>
      </c>
      <c r="G177" s="42" t="str">
        <f aca="false">IF(Jobs!$A177="","",Jobs!$U177)</f>
        <v/>
      </c>
      <c r="H177" s="42" t="str">
        <f aca="false">IF(Jobs!$A177="","",Jobs!$V177)</f>
        <v/>
      </c>
      <c r="I177" s="42" t="str">
        <f aca="false">IF(Jobs!$A177="","",Jobs!$X177)</f>
        <v/>
      </c>
      <c r="J177" s="42" t="str">
        <f aca="false">IF(Jobs!$A177="","",Jobs!$Y177)</f>
        <v/>
      </c>
      <c r="K177" s="42" t="str">
        <f aca="false">IF(Jobs!$A177="","",Jobs!$Z177)</f>
        <v/>
      </c>
      <c r="L177" s="41" t="str">
        <f aca="false">IF(Jobs!$A177="","",IF(Jobs!$Z177&lt;&gt;"","Rejected",IF(Jobs!$Y177&lt;&gt;"","Offer",IF(Jobs!$X177&lt;&gt;"","Interview",IF(Jobs!$V177&lt;&gt;"","Responded",IF(Jobs!$U177&lt;&gt;"","Contacted",IF(Jobs!$T177&lt;&gt;"","Applied","Not applied yet")))))))</f>
        <v/>
      </c>
      <c r="M177" s="41" t="str">
        <f aca="false">IF(Jobs!$A177="","",Jobs!$AB177)</f>
        <v/>
      </c>
      <c r="N177" s="42" t="str">
        <f aca="false">IF(Jobs!$A177="","",Jobs!$AA177)</f>
        <v/>
      </c>
    </row>
    <row r="178" customFormat="false" ht="15" hidden="false" customHeight="false" outlineLevel="0" collapsed="false">
      <c r="A178" s="41" t="str">
        <f aca="false">IF(Jobs!$A178="","",Jobs!$A178)</f>
        <v/>
      </c>
      <c r="B178" s="13" t="str">
        <f aca="false">IF(Jobs!$A178="","",Jobs!$E178)</f>
        <v/>
      </c>
      <c r="C178" s="13" t="str">
        <f aca="false">IF(Jobs!$A178="","",Jobs!$F178)</f>
        <v/>
      </c>
      <c r="D178" s="41" t="str">
        <f aca="false">IF(Jobs!$A178="","",Jobs!$P178)</f>
        <v/>
      </c>
      <c r="E178" s="41" t="str">
        <f aca="false">IF(Jobs!$A178="","",Jobs!$S178)</f>
        <v/>
      </c>
      <c r="F178" s="42" t="str">
        <f aca="false">IF(Jobs!$A178="","",Jobs!$T178)</f>
        <v/>
      </c>
      <c r="G178" s="42" t="str">
        <f aca="false">IF(Jobs!$A178="","",Jobs!$U178)</f>
        <v/>
      </c>
      <c r="H178" s="42" t="str">
        <f aca="false">IF(Jobs!$A178="","",Jobs!$V178)</f>
        <v/>
      </c>
      <c r="I178" s="42" t="str">
        <f aca="false">IF(Jobs!$A178="","",Jobs!$X178)</f>
        <v/>
      </c>
      <c r="J178" s="42" t="str">
        <f aca="false">IF(Jobs!$A178="","",Jobs!$Y178)</f>
        <v/>
      </c>
      <c r="K178" s="42" t="str">
        <f aca="false">IF(Jobs!$A178="","",Jobs!$Z178)</f>
        <v/>
      </c>
      <c r="L178" s="41" t="str">
        <f aca="false">IF(Jobs!$A178="","",IF(Jobs!$Z178&lt;&gt;"","Rejected",IF(Jobs!$Y178&lt;&gt;"","Offer",IF(Jobs!$X178&lt;&gt;"","Interview",IF(Jobs!$V178&lt;&gt;"","Responded",IF(Jobs!$U178&lt;&gt;"","Contacted",IF(Jobs!$T178&lt;&gt;"","Applied","Not applied yet")))))))</f>
        <v/>
      </c>
      <c r="M178" s="41" t="str">
        <f aca="false">IF(Jobs!$A178="","",Jobs!$AB178)</f>
        <v/>
      </c>
      <c r="N178" s="42" t="str">
        <f aca="false">IF(Jobs!$A178="","",Jobs!$AA178)</f>
        <v/>
      </c>
    </row>
    <row r="179" customFormat="false" ht="15" hidden="false" customHeight="false" outlineLevel="0" collapsed="false">
      <c r="A179" s="41" t="str">
        <f aca="false">IF(Jobs!$A179="","",Jobs!$A179)</f>
        <v/>
      </c>
      <c r="B179" s="13" t="str">
        <f aca="false">IF(Jobs!$A179="","",Jobs!$E179)</f>
        <v/>
      </c>
      <c r="C179" s="13" t="str">
        <f aca="false">IF(Jobs!$A179="","",Jobs!$F179)</f>
        <v/>
      </c>
      <c r="D179" s="41" t="str">
        <f aca="false">IF(Jobs!$A179="","",Jobs!$P179)</f>
        <v/>
      </c>
      <c r="E179" s="41" t="str">
        <f aca="false">IF(Jobs!$A179="","",Jobs!$S179)</f>
        <v/>
      </c>
      <c r="F179" s="42" t="str">
        <f aca="false">IF(Jobs!$A179="","",Jobs!$T179)</f>
        <v/>
      </c>
      <c r="G179" s="42" t="str">
        <f aca="false">IF(Jobs!$A179="","",Jobs!$U179)</f>
        <v/>
      </c>
      <c r="H179" s="42" t="str">
        <f aca="false">IF(Jobs!$A179="","",Jobs!$V179)</f>
        <v/>
      </c>
      <c r="I179" s="42" t="str">
        <f aca="false">IF(Jobs!$A179="","",Jobs!$X179)</f>
        <v/>
      </c>
      <c r="J179" s="42" t="str">
        <f aca="false">IF(Jobs!$A179="","",Jobs!$Y179)</f>
        <v/>
      </c>
      <c r="K179" s="42" t="str">
        <f aca="false">IF(Jobs!$A179="","",Jobs!$Z179)</f>
        <v/>
      </c>
      <c r="L179" s="41" t="str">
        <f aca="false">IF(Jobs!$A179="","",IF(Jobs!$Z179&lt;&gt;"","Rejected",IF(Jobs!$Y179&lt;&gt;"","Offer",IF(Jobs!$X179&lt;&gt;"","Interview",IF(Jobs!$V179&lt;&gt;"","Responded",IF(Jobs!$U179&lt;&gt;"","Contacted",IF(Jobs!$T179&lt;&gt;"","Applied","Not applied yet")))))))</f>
        <v/>
      </c>
      <c r="M179" s="41" t="str">
        <f aca="false">IF(Jobs!$A179="","",Jobs!$AB179)</f>
        <v/>
      </c>
      <c r="N179" s="42" t="str">
        <f aca="false">IF(Jobs!$A179="","",Jobs!$AA179)</f>
        <v/>
      </c>
    </row>
    <row r="180" customFormat="false" ht="15" hidden="false" customHeight="false" outlineLevel="0" collapsed="false">
      <c r="A180" s="41" t="str">
        <f aca="false">IF(Jobs!$A180="","",Jobs!$A180)</f>
        <v/>
      </c>
      <c r="B180" s="13" t="str">
        <f aca="false">IF(Jobs!$A180="","",Jobs!$E180)</f>
        <v/>
      </c>
      <c r="C180" s="13" t="str">
        <f aca="false">IF(Jobs!$A180="","",Jobs!$F180)</f>
        <v/>
      </c>
      <c r="D180" s="41" t="str">
        <f aca="false">IF(Jobs!$A180="","",Jobs!$P180)</f>
        <v/>
      </c>
      <c r="E180" s="41" t="str">
        <f aca="false">IF(Jobs!$A180="","",Jobs!$S180)</f>
        <v/>
      </c>
      <c r="F180" s="42" t="str">
        <f aca="false">IF(Jobs!$A180="","",Jobs!$T180)</f>
        <v/>
      </c>
      <c r="G180" s="42" t="str">
        <f aca="false">IF(Jobs!$A180="","",Jobs!$U180)</f>
        <v/>
      </c>
      <c r="H180" s="42" t="str">
        <f aca="false">IF(Jobs!$A180="","",Jobs!$V180)</f>
        <v/>
      </c>
      <c r="I180" s="42" t="str">
        <f aca="false">IF(Jobs!$A180="","",Jobs!$X180)</f>
        <v/>
      </c>
      <c r="J180" s="42" t="str">
        <f aca="false">IF(Jobs!$A180="","",Jobs!$Y180)</f>
        <v/>
      </c>
      <c r="K180" s="42" t="str">
        <f aca="false">IF(Jobs!$A180="","",Jobs!$Z180)</f>
        <v/>
      </c>
      <c r="L180" s="41" t="str">
        <f aca="false">IF(Jobs!$A180="","",IF(Jobs!$Z180&lt;&gt;"","Rejected",IF(Jobs!$Y180&lt;&gt;"","Offer",IF(Jobs!$X180&lt;&gt;"","Interview",IF(Jobs!$V180&lt;&gt;"","Responded",IF(Jobs!$U180&lt;&gt;"","Contacted",IF(Jobs!$T180&lt;&gt;"","Applied","Not applied yet")))))))</f>
        <v/>
      </c>
      <c r="M180" s="41" t="str">
        <f aca="false">IF(Jobs!$A180="","",Jobs!$AB180)</f>
        <v/>
      </c>
      <c r="N180" s="42" t="str">
        <f aca="false">IF(Jobs!$A180="","",Jobs!$AA180)</f>
        <v/>
      </c>
    </row>
    <row r="181" customFormat="false" ht="15" hidden="false" customHeight="false" outlineLevel="0" collapsed="false">
      <c r="A181" s="41" t="str">
        <f aca="false">IF(Jobs!$A181="","",Jobs!$A181)</f>
        <v/>
      </c>
      <c r="B181" s="13" t="str">
        <f aca="false">IF(Jobs!$A181="","",Jobs!$E181)</f>
        <v/>
      </c>
      <c r="C181" s="13" t="str">
        <f aca="false">IF(Jobs!$A181="","",Jobs!$F181)</f>
        <v/>
      </c>
      <c r="D181" s="41" t="str">
        <f aca="false">IF(Jobs!$A181="","",Jobs!$P181)</f>
        <v/>
      </c>
      <c r="E181" s="41" t="str">
        <f aca="false">IF(Jobs!$A181="","",Jobs!$S181)</f>
        <v/>
      </c>
      <c r="F181" s="42" t="str">
        <f aca="false">IF(Jobs!$A181="","",Jobs!$T181)</f>
        <v/>
      </c>
      <c r="G181" s="42" t="str">
        <f aca="false">IF(Jobs!$A181="","",Jobs!$U181)</f>
        <v/>
      </c>
      <c r="H181" s="42" t="str">
        <f aca="false">IF(Jobs!$A181="","",Jobs!$V181)</f>
        <v/>
      </c>
      <c r="I181" s="42" t="str">
        <f aca="false">IF(Jobs!$A181="","",Jobs!$X181)</f>
        <v/>
      </c>
      <c r="J181" s="42" t="str">
        <f aca="false">IF(Jobs!$A181="","",Jobs!$Y181)</f>
        <v/>
      </c>
      <c r="K181" s="42" t="str">
        <f aca="false">IF(Jobs!$A181="","",Jobs!$Z181)</f>
        <v/>
      </c>
      <c r="L181" s="41" t="str">
        <f aca="false">IF(Jobs!$A181="","",IF(Jobs!$Z181&lt;&gt;"","Rejected",IF(Jobs!$Y181&lt;&gt;"","Offer",IF(Jobs!$X181&lt;&gt;"","Interview",IF(Jobs!$V181&lt;&gt;"","Responded",IF(Jobs!$U181&lt;&gt;"","Contacted",IF(Jobs!$T181&lt;&gt;"","Applied","Not applied yet")))))))</f>
        <v/>
      </c>
      <c r="M181" s="41" t="str">
        <f aca="false">IF(Jobs!$A181="","",Jobs!$AB181)</f>
        <v/>
      </c>
      <c r="N181" s="42" t="str">
        <f aca="false">IF(Jobs!$A181="","",Jobs!$AA181)</f>
        <v/>
      </c>
    </row>
    <row r="182" customFormat="false" ht="15" hidden="false" customHeight="false" outlineLevel="0" collapsed="false">
      <c r="A182" s="41" t="str">
        <f aca="false">IF(Jobs!$A182="","",Jobs!$A182)</f>
        <v/>
      </c>
      <c r="B182" s="13" t="str">
        <f aca="false">IF(Jobs!$A182="","",Jobs!$E182)</f>
        <v/>
      </c>
      <c r="C182" s="13" t="str">
        <f aca="false">IF(Jobs!$A182="","",Jobs!$F182)</f>
        <v/>
      </c>
      <c r="D182" s="41" t="str">
        <f aca="false">IF(Jobs!$A182="","",Jobs!$P182)</f>
        <v/>
      </c>
      <c r="E182" s="41" t="str">
        <f aca="false">IF(Jobs!$A182="","",Jobs!$S182)</f>
        <v/>
      </c>
      <c r="F182" s="42" t="str">
        <f aca="false">IF(Jobs!$A182="","",Jobs!$T182)</f>
        <v/>
      </c>
      <c r="G182" s="42" t="str">
        <f aca="false">IF(Jobs!$A182="","",Jobs!$U182)</f>
        <v/>
      </c>
      <c r="H182" s="42" t="str">
        <f aca="false">IF(Jobs!$A182="","",Jobs!$V182)</f>
        <v/>
      </c>
      <c r="I182" s="42" t="str">
        <f aca="false">IF(Jobs!$A182="","",Jobs!$X182)</f>
        <v/>
      </c>
      <c r="J182" s="42" t="str">
        <f aca="false">IF(Jobs!$A182="","",Jobs!$Y182)</f>
        <v/>
      </c>
      <c r="K182" s="42" t="str">
        <f aca="false">IF(Jobs!$A182="","",Jobs!$Z182)</f>
        <v/>
      </c>
      <c r="L182" s="41" t="str">
        <f aca="false">IF(Jobs!$A182="","",IF(Jobs!$Z182&lt;&gt;"","Rejected",IF(Jobs!$Y182&lt;&gt;"","Offer",IF(Jobs!$X182&lt;&gt;"","Interview",IF(Jobs!$V182&lt;&gt;"","Responded",IF(Jobs!$U182&lt;&gt;"","Contacted",IF(Jobs!$T182&lt;&gt;"","Applied","Not applied yet")))))))</f>
        <v/>
      </c>
      <c r="M182" s="41" t="str">
        <f aca="false">IF(Jobs!$A182="","",Jobs!$AB182)</f>
        <v/>
      </c>
      <c r="N182" s="42" t="str">
        <f aca="false">IF(Jobs!$A182="","",Jobs!$AA182)</f>
        <v/>
      </c>
    </row>
    <row r="183" customFormat="false" ht="15" hidden="false" customHeight="false" outlineLevel="0" collapsed="false">
      <c r="A183" s="41" t="str">
        <f aca="false">IF(Jobs!$A183="","",Jobs!$A183)</f>
        <v/>
      </c>
      <c r="B183" s="13" t="str">
        <f aca="false">IF(Jobs!$A183="","",Jobs!$E183)</f>
        <v/>
      </c>
      <c r="C183" s="13" t="str">
        <f aca="false">IF(Jobs!$A183="","",Jobs!$F183)</f>
        <v/>
      </c>
      <c r="D183" s="41" t="str">
        <f aca="false">IF(Jobs!$A183="","",Jobs!$P183)</f>
        <v/>
      </c>
      <c r="E183" s="41" t="str">
        <f aca="false">IF(Jobs!$A183="","",Jobs!$S183)</f>
        <v/>
      </c>
      <c r="F183" s="42" t="str">
        <f aca="false">IF(Jobs!$A183="","",Jobs!$T183)</f>
        <v/>
      </c>
      <c r="G183" s="42" t="str">
        <f aca="false">IF(Jobs!$A183="","",Jobs!$U183)</f>
        <v/>
      </c>
      <c r="H183" s="42" t="str">
        <f aca="false">IF(Jobs!$A183="","",Jobs!$V183)</f>
        <v/>
      </c>
      <c r="I183" s="42" t="str">
        <f aca="false">IF(Jobs!$A183="","",Jobs!$X183)</f>
        <v/>
      </c>
      <c r="J183" s="42" t="str">
        <f aca="false">IF(Jobs!$A183="","",Jobs!$Y183)</f>
        <v/>
      </c>
      <c r="K183" s="42" t="str">
        <f aca="false">IF(Jobs!$A183="","",Jobs!$Z183)</f>
        <v/>
      </c>
      <c r="L183" s="41" t="str">
        <f aca="false">IF(Jobs!$A183="","",IF(Jobs!$Z183&lt;&gt;"","Rejected",IF(Jobs!$Y183&lt;&gt;"","Offer",IF(Jobs!$X183&lt;&gt;"","Interview",IF(Jobs!$V183&lt;&gt;"","Responded",IF(Jobs!$U183&lt;&gt;"","Contacted",IF(Jobs!$T183&lt;&gt;"","Applied","Not applied yet")))))))</f>
        <v/>
      </c>
      <c r="M183" s="41" t="str">
        <f aca="false">IF(Jobs!$A183="","",Jobs!$AB183)</f>
        <v/>
      </c>
      <c r="N183" s="42" t="str">
        <f aca="false">IF(Jobs!$A183="","",Jobs!$AA183)</f>
        <v/>
      </c>
    </row>
    <row r="184" customFormat="false" ht="15" hidden="false" customHeight="false" outlineLevel="0" collapsed="false">
      <c r="A184" s="41" t="str">
        <f aca="false">IF(Jobs!$A184="","",Jobs!$A184)</f>
        <v/>
      </c>
      <c r="B184" s="13" t="str">
        <f aca="false">IF(Jobs!$A184="","",Jobs!$E184)</f>
        <v/>
      </c>
      <c r="C184" s="13" t="str">
        <f aca="false">IF(Jobs!$A184="","",Jobs!$F184)</f>
        <v/>
      </c>
      <c r="D184" s="41" t="str">
        <f aca="false">IF(Jobs!$A184="","",Jobs!$P184)</f>
        <v/>
      </c>
      <c r="E184" s="41" t="str">
        <f aca="false">IF(Jobs!$A184="","",Jobs!$S184)</f>
        <v/>
      </c>
      <c r="F184" s="42" t="str">
        <f aca="false">IF(Jobs!$A184="","",Jobs!$T184)</f>
        <v/>
      </c>
      <c r="G184" s="42" t="str">
        <f aca="false">IF(Jobs!$A184="","",Jobs!$U184)</f>
        <v/>
      </c>
      <c r="H184" s="42" t="str">
        <f aca="false">IF(Jobs!$A184="","",Jobs!$V184)</f>
        <v/>
      </c>
      <c r="I184" s="42" t="str">
        <f aca="false">IF(Jobs!$A184="","",Jobs!$X184)</f>
        <v/>
      </c>
      <c r="J184" s="42" t="str">
        <f aca="false">IF(Jobs!$A184="","",Jobs!$Y184)</f>
        <v/>
      </c>
      <c r="K184" s="42" t="str">
        <f aca="false">IF(Jobs!$A184="","",Jobs!$Z184)</f>
        <v/>
      </c>
      <c r="L184" s="41" t="str">
        <f aca="false">IF(Jobs!$A184="","",IF(Jobs!$Z184&lt;&gt;"","Rejected",IF(Jobs!$Y184&lt;&gt;"","Offer",IF(Jobs!$X184&lt;&gt;"","Interview",IF(Jobs!$V184&lt;&gt;"","Responded",IF(Jobs!$U184&lt;&gt;"","Contacted",IF(Jobs!$T184&lt;&gt;"","Applied","Not applied yet")))))))</f>
        <v/>
      </c>
      <c r="M184" s="41" t="str">
        <f aca="false">IF(Jobs!$A184="","",Jobs!$AB184)</f>
        <v/>
      </c>
      <c r="N184" s="42" t="str">
        <f aca="false">IF(Jobs!$A184="","",Jobs!$AA184)</f>
        <v/>
      </c>
    </row>
    <row r="185" customFormat="false" ht="15" hidden="false" customHeight="false" outlineLevel="0" collapsed="false">
      <c r="A185" s="41" t="str">
        <f aca="false">IF(Jobs!$A185="","",Jobs!$A185)</f>
        <v/>
      </c>
      <c r="B185" s="13" t="str">
        <f aca="false">IF(Jobs!$A185="","",Jobs!$E185)</f>
        <v/>
      </c>
      <c r="C185" s="13" t="str">
        <f aca="false">IF(Jobs!$A185="","",Jobs!$F185)</f>
        <v/>
      </c>
      <c r="D185" s="41" t="str">
        <f aca="false">IF(Jobs!$A185="","",Jobs!$P185)</f>
        <v/>
      </c>
      <c r="E185" s="41" t="str">
        <f aca="false">IF(Jobs!$A185="","",Jobs!$S185)</f>
        <v/>
      </c>
      <c r="F185" s="42" t="str">
        <f aca="false">IF(Jobs!$A185="","",Jobs!$T185)</f>
        <v/>
      </c>
      <c r="G185" s="42" t="str">
        <f aca="false">IF(Jobs!$A185="","",Jobs!$U185)</f>
        <v/>
      </c>
      <c r="H185" s="42" t="str">
        <f aca="false">IF(Jobs!$A185="","",Jobs!$V185)</f>
        <v/>
      </c>
      <c r="I185" s="42" t="str">
        <f aca="false">IF(Jobs!$A185="","",Jobs!$X185)</f>
        <v/>
      </c>
      <c r="J185" s="42" t="str">
        <f aca="false">IF(Jobs!$A185="","",Jobs!$Y185)</f>
        <v/>
      </c>
      <c r="K185" s="42" t="str">
        <f aca="false">IF(Jobs!$A185="","",Jobs!$Z185)</f>
        <v/>
      </c>
      <c r="L185" s="41" t="str">
        <f aca="false">IF(Jobs!$A185="","",IF(Jobs!$Z185&lt;&gt;"","Rejected",IF(Jobs!$Y185&lt;&gt;"","Offer",IF(Jobs!$X185&lt;&gt;"","Interview",IF(Jobs!$V185&lt;&gt;"","Responded",IF(Jobs!$U185&lt;&gt;"","Contacted",IF(Jobs!$T185&lt;&gt;"","Applied","Not applied yet")))))))</f>
        <v/>
      </c>
      <c r="M185" s="41" t="str">
        <f aca="false">IF(Jobs!$A185="","",Jobs!$AB185)</f>
        <v/>
      </c>
      <c r="N185" s="42" t="str">
        <f aca="false">IF(Jobs!$A185="","",Jobs!$AA185)</f>
        <v/>
      </c>
    </row>
    <row r="186" customFormat="false" ht="15" hidden="false" customHeight="false" outlineLevel="0" collapsed="false">
      <c r="A186" s="41" t="str">
        <f aca="false">IF(Jobs!$A186="","",Jobs!$A186)</f>
        <v/>
      </c>
      <c r="B186" s="13" t="str">
        <f aca="false">IF(Jobs!$A186="","",Jobs!$E186)</f>
        <v/>
      </c>
      <c r="C186" s="13" t="str">
        <f aca="false">IF(Jobs!$A186="","",Jobs!$F186)</f>
        <v/>
      </c>
      <c r="D186" s="41" t="str">
        <f aca="false">IF(Jobs!$A186="","",Jobs!$P186)</f>
        <v/>
      </c>
      <c r="E186" s="41" t="str">
        <f aca="false">IF(Jobs!$A186="","",Jobs!$S186)</f>
        <v/>
      </c>
      <c r="F186" s="42" t="str">
        <f aca="false">IF(Jobs!$A186="","",Jobs!$T186)</f>
        <v/>
      </c>
      <c r="G186" s="42" t="str">
        <f aca="false">IF(Jobs!$A186="","",Jobs!$U186)</f>
        <v/>
      </c>
      <c r="H186" s="42" t="str">
        <f aca="false">IF(Jobs!$A186="","",Jobs!$V186)</f>
        <v/>
      </c>
      <c r="I186" s="42" t="str">
        <f aca="false">IF(Jobs!$A186="","",Jobs!$X186)</f>
        <v/>
      </c>
      <c r="J186" s="42" t="str">
        <f aca="false">IF(Jobs!$A186="","",Jobs!$Y186)</f>
        <v/>
      </c>
      <c r="K186" s="42" t="str">
        <f aca="false">IF(Jobs!$A186="","",Jobs!$Z186)</f>
        <v/>
      </c>
      <c r="L186" s="41" t="str">
        <f aca="false">IF(Jobs!$A186="","",IF(Jobs!$Z186&lt;&gt;"","Rejected",IF(Jobs!$Y186&lt;&gt;"","Offer",IF(Jobs!$X186&lt;&gt;"","Interview",IF(Jobs!$V186&lt;&gt;"","Responded",IF(Jobs!$U186&lt;&gt;"","Contacted",IF(Jobs!$T186&lt;&gt;"","Applied","Not applied yet")))))))</f>
        <v/>
      </c>
      <c r="M186" s="41" t="str">
        <f aca="false">IF(Jobs!$A186="","",Jobs!$AB186)</f>
        <v/>
      </c>
      <c r="N186" s="42" t="str">
        <f aca="false">IF(Jobs!$A186="","",Jobs!$AA186)</f>
        <v/>
      </c>
    </row>
    <row r="187" customFormat="false" ht="15" hidden="false" customHeight="false" outlineLevel="0" collapsed="false">
      <c r="A187" s="41" t="str">
        <f aca="false">IF(Jobs!$A187="","",Jobs!$A187)</f>
        <v/>
      </c>
      <c r="B187" s="13" t="str">
        <f aca="false">IF(Jobs!$A187="","",Jobs!$E187)</f>
        <v/>
      </c>
      <c r="C187" s="13" t="str">
        <f aca="false">IF(Jobs!$A187="","",Jobs!$F187)</f>
        <v/>
      </c>
      <c r="D187" s="41" t="str">
        <f aca="false">IF(Jobs!$A187="","",Jobs!$P187)</f>
        <v/>
      </c>
      <c r="E187" s="41" t="str">
        <f aca="false">IF(Jobs!$A187="","",Jobs!$S187)</f>
        <v/>
      </c>
      <c r="F187" s="42" t="str">
        <f aca="false">IF(Jobs!$A187="","",Jobs!$T187)</f>
        <v/>
      </c>
      <c r="G187" s="42" t="str">
        <f aca="false">IF(Jobs!$A187="","",Jobs!$U187)</f>
        <v/>
      </c>
      <c r="H187" s="42" t="str">
        <f aca="false">IF(Jobs!$A187="","",Jobs!$V187)</f>
        <v/>
      </c>
      <c r="I187" s="42" t="str">
        <f aca="false">IF(Jobs!$A187="","",Jobs!$X187)</f>
        <v/>
      </c>
      <c r="J187" s="42" t="str">
        <f aca="false">IF(Jobs!$A187="","",Jobs!$Y187)</f>
        <v/>
      </c>
      <c r="K187" s="42" t="str">
        <f aca="false">IF(Jobs!$A187="","",Jobs!$Z187)</f>
        <v/>
      </c>
      <c r="L187" s="41" t="str">
        <f aca="false">IF(Jobs!$A187="","",IF(Jobs!$Z187&lt;&gt;"","Rejected",IF(Jobs!$Y187&lt;&gt;"","Offer",IF(Jobs!$X187&lt;&gt;"","Interview",IF(Jobs!$V187&lt;&gt;"","Responded",IF(Jobs!$U187&lt;&gt;"","Contacted",IF(Jobs!$T187&lt;&gt;"","Applied","Not applied yet")))))))</f>
        <v/>
      </c>
      <c r="M187" s="41" t="str">
        <f aca="false">IF(Jobs!$A187="","",Jobs!$AB187)</f>
        <v/>
      </c>
      <c r="N187" s="42" t="str">
        <f aca="false">IF(Jobs!$A187="","",Jobs!$AA187)</f>
        <v/>
      </c>
    </row>
    <row r="188" customFormat="false" ht="15" hidden="false" customHeight="false" outlineLevel="0" collapsed="false">
      <c r="A188" s="41" t="str">
        <f aca="false">IF(Jobs!$A188="","",Jobs!$A188)</f>
        <v/>
      </c>
      <c r="B188" s="13" t="str">
        <f aca="false">IF(Jobs!$A188="","",Jobs!$E188)</f>
        <v/>
      </c>
      <c r="C188" s="13" t="str">
        <f aca="false">IF(Jobs!$A188="","",Jobs!$F188)</f>
        <v/>
      </c>
      <c r="D188" s="41" t="str">
        <f aca="false">IF(Jobs!$A188="","",Jobs!$P188)</f>
        <v/>
      </c>
      <c r="E188" s="41" t="str">
        <f aca="false">IF(Jobs!$A188="","",Jobs!$S188)</f>
        <v/>
      </c>
      <c r="F188" s="42" t="str">
        <f aca="false">IF(Jobs!$A188="","",Jobs!$T188)</f>
        <v/>
      </c>
      <c r="G188" s="42" t="str">
        <f aca="false">IF(Jobs!$A188="","",Jobs!$U188)</f>
        <v/>
      </c>
      <c r="H188" s="42" t="str">
        <f aca="false">IF(Jobs!$A188="","",Jobs!$V188)</f>
        <v/>
      </c>
      <c r="I188" s="42" t="str">
        <f aca="false">IF(Jobs!$A188="","",Jobs!$X188)</f>
        <v/>
      </c>
      <c r="J188" s="42" t="str">
        <f aca="false">IF(Jobs!$A188="","",Jobs!$Y188)</f>
        <v/>
      </c>
      <c r="K188" s="42" t="str">
        <f aca="false">IF(Jobs!$A188="","",Jobs!$Z188)</f>
        <v/>
      </c>
      <c r="L188" s="41" t="str">
        <f aca="false">IF(Jobs!$A188="","",IF(Jobs!$Z188&lt;&gt;"","Rejected",IF(Jobs!$Y188&lt;&gt;"","Offer",IF(Jobs!$X188&lt;&gt;"","Interview",IF(Jobs!$V188&lt;&gt;"","Responded",IF(Jobs!$U188&lt;&gt;"","Contacted",IF(Jobs!$T188&lt;&gt;"","Applied","Not applied yet")))))))</f>
        <v/>
      </c>
      <c r="M188" s="41" t="str">
        <f aca="false">IF(Jobs!$A188="","",Jobs!$AB188)</f>
        <v/>
      </c>
      <c r="N188" s="42" t="str">
        <f aca="false">IF(Jobs!$A188="","",Jobs!$AA188)</f>
        <v/>
      </c>
    </row>
    <row r="189" customFormat="false" ht="15" hidden="false" customHeight="false" outlineLevel="0" collapsed="false">
      <c r="A189" s="41" t="str">
        <f aca="false">IF(Jobs!$A189="","",Jobs!$A189)</f>
        <v/>
      </c>
      <c r="B189" s="13" t="str">
        <f aca="false">IF(Jobs!$A189="","",Jobs!$E189)</f>
        <v/>
      </c>
      <c r="C189" s="13" t="str">
        <f aca="false">IF(Jobs!$A189="","",Jobs!$F189)</f>
        <v/>
      </c>
      <c r="D189" s="41" t="str">
        <f aca="false">IF(Jobs!$A189="","",Jobs!$P189)</f>
        <v/>
      </c>
      <c r="E189" s="41" t="str">
        <f aca="false">IF(Jobs!$A189="","",Jobs!$S189)</f>
        <v/>
      </c>
      <c r="F189" s="42" t="str">
        <f aca="false">IF(Jobs!$A189="","",Jobs!$T189)</f>
        <v/>
      </c>
      <c r="G189" s="42" t="str">
        <f aca="false">IF(Jobs!$A189="","",Jobs!$U189)</f>
        <v/>
      </c>
      <c r="H189" s="42" t="str">
        <f aca="false">IF(Jobs!$A189="","",Jobs!$V189)</f>
        <v/>
      </c>
      <c r="I189" s="42" t="str">
        <f aca="false">IF(Jobs!$A189="","",Jobs!$X189)</f>
        <v/>
      </c>
      <c r="J189" s="42" t="str">
        <f aca="false">IF(Jobs!$A189="","",Jobs!$Y189)</f>
        <v/>
      </c>
      <c r="K189" s="42" t="str">
        <f aca="false">IF(Jobs!$A189="","",Jobs!$Z189)</f>
        <v/>
      </c>
      <c r="L189" s="41" t="str">
        <f aca="false">IF(Jobs!$A189="","",IF(Jobs!$Z189&lt;&gt;"","Rejected",IF(Jobs!$Y189&lt;&gt;"","Offer",IF(Jobs!$X189&lt;&gt;"","Interview",IF(Jobs!$V189&lt;&gt;"","Responded",IF(Jobs!$U189&lt;&gt;"","Contacted",IF(Jobs!$T189&lt;&gt;"","Applied","Not applied yet")))))))</f>
        <v/>
      </c>
      <c r="M189" s="41" t="str">
        <f aca="false">IF(Jobs!$A189="","",Jobs!$AB189)</f>
        <v/>
      </c>
      <c r="N189" s="42" t="str">
        <f aca="false">IF(Jobs!$A189="","",Jobs!$AA189)</f>
        <v/>
      </c>
    </row>
    <row r="190" customFormat="false" ht="15" hidden="false" customHeight="false" outlineLevel="0" collapsed="false">
      <c r="A190" s="41" t="str">
        <f aca="false">IF(Jobs!$A190="","",Jobs!$A190)</f>
        <v/>
      </c>
      <c r="B190" s="13" t="str">
        <f aca="false">IF(Jobs!$A190="","",Jobs!$E190)</f>
        <v/>
      </c>
      <c r="C190" s="13" t="str">
        <f aca="false">IF(Jobs!$A190="","",Jobs!$F190)</f>
        <v/>
      </c>
      <c r="D190" s="41" t="str">
        <f aca="false">IF(Jobs!$A190="","",Jobs!$P190)</f>
        <v/>
      </c>
      <c r="E190" s="41" t="str">
        <f aca="false">IF(Jobs!$A190="","",Jobs!$S190)</f>
        <v/>
      </c>
      <c r="F190" s="42" t="str">
        <f aca="false">IF(Jobs!$A190="","",Jobs!$T190)</f>
        <v/>
      </c>
      <c r="G190" s="42" t="str">
        <f aca="false">IF(Jobs!$A190="","",Jobs!$U190)</f>
        <v/>
      </c>
      <c r="H190" s="42" t="str">
        <f aca="false">IF(Jobs!$A190="","",Jobs!$V190)</f>
        <v/>
      </c>
      <c r="I190" s="42" t="str">
        <f aca="false">IF(Jobs!$A190="","",Jobs!$X190)</f>
        <v/>
      </c>
      <c r="J190" s="42" t="str">
        <f aca="false">IF(Jobs!$A190="","",Jobs!$Y190)</f>
        <v/>
      </c>
      <c r="K190" s="42" t="str">
        <f aca="false">IF(Jobs!$A190="","",Jobs!$Z190)</f>
        <v/>
      </c>
      <c r="L190" s="41" t="str">
        <f aca="false">IF(Jobs!$A190="","",IF(Jobs!$Z190&lt;&gt;"","Rejected",IF(Jobs!$Y190&lt;&gt;"","Offer",IF(Jobs!$X190&lt;&gt;"","Interview",IF(Jobs!$V190&lt;&gt;"","Responded",IF(Jobs!$U190&lt;&gt;"","Contacted",IF(Jobs!$T190&lt;&gt;"","Applied","Not applied yet")))))))</f>
        <v/>
      </c>
      <c r="M190" s="41" t="str">
        <f aca="false">IF(Jobs!$A190="","",Jobs!$AB190)</f>
        <v/>
      </c>
      <c r="N190" s="42" t="str">
        <f aca="false">IF(Jobs!$A190="","",Jobs!$AA190)</f>
        <v/>
      </c>
    </row>
    <row r="191" customFormat="false" ht="15" hidden="false" customHeight="false" outlineLevel="0" collapsed="false">
      <c r="A191" s="41" t="str">
        <f aca="false">IF(Jobs!$A191="","",Jobs!$A191)</f>
        <v/>
      </c>
      <c r="B191" s="13" t="str">
        <f aca="false">IF(Jobs!$A191="","",Jobs!$E191)</f>
        <v/>
      </c>
      <c r="C191" s="13" t="str">
        <f aca="false">IF(Jobs!$A191="","",Jobs!$F191)</f>
        <v/>
      </c>
      <c r="D191" s="41" t="str">
        <f aca="false">IF(Jobs!$A191="","",Jobs!$P191)</f>
        <v/>
      </c>
      <c r="E191" s="41" t="str">
        <f aca="false">IF(Jobs!$A191="","",Jobs!$S191)</f>
        <v/>
      </c>
      <c r="F191" s="42" t="str">
        <f aca="false">IF(Jobs!$A191="","",Jobs!$T191)</f>
        <v/>
      </c>
      <c r="G191" s="42" t="str">
        <f aca="false">IF(Jobs!$A191="","",Jobs!$U191)</f>
        <v/>
      </c>
      <c r="H191" s="42" t="str">
        <f aca="false">IF(Jobs!$A191="","",Jobs!$V191)</f>
        <v/>
      </c>
      <c r="I191" s="42" t="str">
        <f aca="false">IF(Jobs!$A191="","",Jobs!$X191)</f>
        <v/>
      </c>
      <c r="J191" s="42" t="str">
        <f aca="false">IF(Jobs!$A191="","",Jobs!$Y191)</f>
        <v/>
      </c>
      <c r="K191" s="42" t="str">
        <f aca="false">IF(Jobs!$A191="","",Jobs!$Z191)</f>
        <v/>
      </c>
      <c r="L191" s="41" t="str">
        <f aca="false">IF(Jobs!$A191="","",IF(Jobs!$Z191&lt;&gt;"","Rejected",IF(Jobs!$Y191&lt;&gt;"","Offer",IF(Jobs!$X191&lt;&gt;"","Interview",IF(Jobs!$V191&lt;&gt;"","Responded",IF(Jobs!$U191&lt;&gt;"","Contacted",IF(Jobs!$T191&lt;&gt;"","Applied","Not applied yet")))))))</f>
        <v/>
      </c>
      <c r="M191" s="41" t="str">
        <f aca="false">IF(Jobs!$A191="","",Jobs!$AB191)</f>
        <v/>
      </c>
      <c r="N191" s="42" t="str">
        <f aca="false">IF(Jobs!$A191="","",Jobs!$AA191)</f>
        <v/>
      </c>
    </row>
    <row r="192" customFormat="false" ht="15" hidden="false" customHeight="false" outlineLevel="0" collapsed="false">
      <c r="A192" s="41" t="str">
        <f aca="false">IF(Jobs!$A192="","",Jobs!$A192)</f>
        <v/>
      </c>
      <c r="B192" s="13" t="str">
        <f aca="false">IF(Jobs!$A192="","",Jobs!$E192)</f>
        <v/>
      </c>
      <c r="C192" s="13" t="str">
        <f aca="false">IF(Jobs!$A192="","",Jobs!$F192)</f>
        <v/>
      </c>
      <c r="D192" s="41" t="str">
        <f aca="false">IF(Jobs!$A192="","",Jobs!$P192)</f>
        <v/>
      </c>
      <c r="E192" s="41" t="str">
        <f aca="false">IF(Jobs!$A192="","",Jobs!$S192)</f>
        <v/>
      </c>
      <c r="F192" s="42" t="str">
        <f aca="false">IF(Jobs!$A192="","",Jobs!$T192)</f>
        <v/>
      </c>
      <c r="G192" s="42" t="str">
        <f aca="false">IF(Jobs!$A192="","",Jobs!$U192)</f>
        <v/>
      </c>
      <c r="H192" s="42" t="str">
        <f aca="false">IF(Jobs!$A192="","",Jobs!$V192)</f>
        <v/>
      </c>
      <c r="I192" s="42" t="str">
        <f aca="false">IF(Jobs!$A192="","",Jobs!$X192)</f>
        <v/>
      </c>
      <c r="J192" s="42" t="str">
        <f aca="false">IF(Jobs!$A192="","",Jobs!$Y192)</f>
        <v/>
      </c>
      <c r="K192" s="42" t="str">
        <f aca="false">IF(Jobs!$A192="","",Jobs!$Z192)</f>
        <v/>
      </c>
      <c r="L192" s="41" t="str">
        <f aca="false">IF(Jobs!$A192="","",IF(Jobs!$Z192&lt;&gt;"","Rejected",IF(Jobs!$Y192&lt;&gt;"","Offer",IF(Jobs!$X192&lt;&gt;"","Interview",IF(Jobs!$V192&lt;&gt;"","Responded",IF(Jobs!$U192&lt;&gt;"","Contacted",IF(Jobs!$T192&lt;&gt;"","Applied","Not applied yet")))))))</f>
        <v/>
      </c>
      <c r="M192" s="41" t="str">
        <f aca="false">IF(Jobs!$A192="","",Jobs!$AB192)</f>
        <v/>
      </c>
      <c r="N192" s="42" t="str">
        <f aca="false">IF(Jobs!$A192="","",Jobs!$AA192)</f>
        <v/>
      </c>
    </row>
    <row r="193" customFormat="false" ht="15" hidden="false" customHeight="false" outlineLevel="0" collapsed="false">
      <c r="A193" s="41" t="str">
        <f aca="false">IF(Jobs!$A193="","",Jobs!$A193)</f>
        <v/>
      </c>
      <c r="B193" s="13" t="str">
        <f aca="false">IF(Jobs!$A193="","",Jobs!$E193)</f>
        <v/>
      </c>
      <c r="C193" s="13" t="str">
        <f aca="false">IF(Jobs!$A193="","",Jobs!$F193)</f>
        <v/>
      </c>
      <c r="D193" s="41" t="str">
        <f aca="false">IF(Jobs!$A193="","",Jobs!$P193)</f>
        <v/>
      </c>
      <c r="E193" s="41" t="str">
        <f aca="false">IF(Jobs!$A193="","",Jobs!$S193)</f>
        <v/>
      </c>
      <c r="F193" s="42" t="str">
        <f aca="false">IF(Jobs!$A193="","",Jobs!$T193)</f>
        <v/>
      </c>
      <c r="G193" s="42" t="str">
        <f aca="false">IF(Jobs!$A193="","",Jobs!$U193)</f>
        <v/>
      </c>
      <c r="H193" s="42" t="str">
        <f aca="false">IF(Jobs!$A193="","",Jobs!$V193)</f>
        <v/>
      </c>
      <c r="I193" s="42" t="str">
        <f aca="false">IF(Jobs!$A193="","",Jobs!$X193)</f>
        <v/>
      </c>
      <c r="J193" s="42" t="str">
        <f aca="false">IF(Jobs!$A193="","",Jobs!$Y193)</f>
        <v/>
      </c>
      <c r="K193" s="42" t="str">
        <f aca="false">IF(Jobs!$A193="","",Jobs!$Z193)</f>
        <v/>
      </c>
      <c r="L193" s="41" t="str">
        <f aca="false">IF(Jobs!$A193="","",IF(Jobs!$Z193&lt;&gt;"","Rejected",IF(Jobs!$Y193&lt;&gt;"","Offer",IF(Jobs!$X193&lt;&gt;"","Interview",IF(Jobs!$V193&lt;&gt;"","Responded",IF(Jobs!$U193&lt;&gt;"","Contacted",IF(Jobs!$T193&lt;&gt;"","Applied","Not applied yet")))))))</f>
        <v/>
      </c>
      <c r="M193" s="41" t="str">
        <f aca="false">IF(Jobs!$A193="","",Jobs!$AB193)</f>
        <v/>
      </c>
      <c r="N193" s="42" t="str">
        <f aca="false">IF(Jobs!$A193="","",Jobs!$AA193)</f>
        <v/>
      </c>
    </row>
    <row r="194" customFormat="false" ht="15" hidden="false" customHeight="false" outlineLevel="0" collapsed="false">
      <c r="A194" s="41" t="str">
        <f aca="false">IF(Jobs!$A194="","",Jobs!$A194)</f>
        <v/>
      </c>
      <c r="B194" s="13" t="str">
        <f aca="false">IF(Jobs!$A194="","",Jobs!$E194)</f>
        <v/>
      </c>
      <c r="C194" s="13" t="str">
        <f aca="false">IF(Jobs!$A194="","",Jobs!$F194)</f>
        <v/>
      </c>
      <c r="D194" s="41" t="str">
        <f aca="false">IF(Jobs!$A194="","",Jobs!$P194)</f>
        <v/>
      </c>
      <c r="E194" s="41" t="str">
        <f aca="false">IF(Jobs!$A194="","",Jobs!$S194)</f>
        <v/>
      </c>
      <c r="F194" s="42" t="str">
        <f aca="false">IF(Jobs!$A194="","",Jobs!$T194)</f>
        <v/>
      </c>
      <c r="G194" s="42" t="str">
        <f aca="false">IF(Jobs!$A194="","",Jobs!$U194)</f>
        <v/>
      </c>
      <c r="H194" s="42" t="str">
        <f aca="false">IF(Jobs!$A194="","",Jobs!$V194)</f>
        <v/>
      </c>
      <c r="I194" s="42" t="str">
        <f aca="false">IF(Jobs!$A194="","",Jobs!$X194)</f>
        <v/>
      </c>
      <c r="J194" s="42" t="str">
        <f aca="false">IF(Jobs!$A194="","",Jobs!$Y194)</f>
        <v/>
      </c>
      <c r="K194" s="42" t="str">
        <f aca="false">IF(Jobs!$A194="","",Jobs!$Z194)</f>
        <v/>
      </c>
      <c r="L194" s="41" t="str">
        <f aca="false">IF(Jobs!$A194="","",IF(Jobs!$Z194&lt;&gt;"","Rejected",IF(Jobs!$Y194&lt;&gt;"","Offer",IF(Jobs!$X194&lt;&gt;"","Interview",IF(Jobs!$V194&lt;&gt;"","Responded",IF(Jobs!$U194&lt;&gt;"","Contacted",IF(Jobs!$T194&lt;&gt;"","Applied","Not applied yet")))))))</f>
        <v/>
      </c>
      <c r="M194" s="41" t="str">
        <f aca="false">IF(Jobs!$A194="","",Jobs!$AB194)</f>
        <v/>
      </c>
      <c r="N194" s="42" t="str">
        <f aca="false">IF(Jobs!$A194="","",Jobs!$AA194)</f>
        <v/>
      </c>
    </row>
    <row r="195" customFormat="false" ht="15" hidden="false" customHeight="false" outlineLevel="0" collapsed="false">
      <c r="A195" s="41" t="str">
        <f aca="false">IF(Jobs!$A195="","",Jobs!$A195)</f>
        <v/>
      </c>
      <c r="B195" s="13" t="str">
        <f aca="false">IF(Jobs!$A195="","",Jobs!$E195)</f>
        <v/>
      </c>
      <c r="C195" s="13" t="str">
        <f aca="false">IF(Jobs!$A195="","",Jobs!$F195)</f>
        <v/>
      </c>
      <c r="D195" s="41" t="str">
        <f aca="false">IF(Jobs!$A195="","",Jobs!$P195)</f>
        <v/>
      </c>
      <c r="E195" s="41" t="str">
        <f aca="false">IF(Jobs!$A195="","",Jobs!$S195)</f>
        <v/>
      </c>
      <c r="F195" s="42" t="str">
        <f aca="false">IF(Jobs!$A195="","",Jobs!$T195)</f>
        <v/>
      </c>
      <c r="G195" s="42" t="str">
        <f aca="false">IF(Jobs!$A195="","",Jobs!$U195)</f>
        <v/>
      </c>
      <c r="H195" s="42" t="str">
        <f aca="false">IF(Jobs!$A195="","",Jobs!$V195)</f>
        <v/>
      </c>
      <c r="I195" s="42" t="str">
        <f aca="false">IF(Jobs!$A195="","",Jobs!$X195)</f>
        <v/>
      </c>
      <c r="J195" s="42" t="str">
        <f aca="false">IF(Jobs!$A195="","",Jobs!$Y195)</f>
        <v/>
      </c>
      <c r="K195" s="42" t="str">
        <f aca="false">IF(Jobs!$A195="","",Jobs!$Z195)</f>
        <v/>
      </c>
      <c r="L195" s="41" t="str">
        <f aca="false">IF(Jobs!$A195="","",IF(Jobs!$Z195&lt;&gt;"","Rejected",IF(Jobs!$Y195&lt;&gt;"","Offer",IF(Jobs!$X195&lt;&gt;"","Interview",IF(Jobs!$V195&lt;&gt;"","Responded",IF(Jobs!$U195&lt;&gt;"","Contacted",IF(Jobs!$T195&lt;&gt;"","Applied","Not applied yet")))))))</f>
        <v/>
      </c>
      <c r="M195" s="41" t="str">
        <f aca="false">IF(Jobs!$A195="","",Jobs!$AB195)</f>
        <v/>
      </c>
      <c r="N195" s="42" t="str">
        <f aca="false">IF(Jobs!$A195="","",Jobs!$AA195)</f>
        <v/>
      </c>
    </row>
    <row r="196" customFormat="false" ht="15" hidden="false" customHeight="false" outlineLevel="0" collapsed="false">
      <c r="A196" s="41" t="str">
        <f aca="false">IF(Jobs!$A196="","",Jobs!$A196)</f>
        <v/>
      </c>
      <c r="B196" s="13" t="str">
        <f aca="false">IF(Jobs!$A196="","",Jobs!$E196)</f>
        <v/>
      </c>
      <c r="C196" s="13" t="str">
        <f aca="false">IF(Jobs!$A196="","",Jobs!$F196)</f>
        <v/>
      </c>
      <c r="D196" s="41" t="str">
        <f aca="false">IF(Jobs!$A196="","",Jobs!$P196)</f>
        <v/>
      </c>
      <c r="E196" s="41" t="str">
        <f aca="false">IF(Jobs!$A196="","",Jobs!$S196)</f>
        <v/>
      </c>
      <c r="F196" s="42" t="str">
        <f aca="false">IF(Jobs!$A196="","",Jobs!$T196)</f>
        <v/>
      </c>
      <c r="G196" s="42" t="str">
        <f aca="false">IF(Jobs!$A196="","",Jobs!$U196)</f>
        <v/>
      </c>
      <c r="H196" s="42" t="str">
        <f aca="false">IF(Jobs!$A196="","",Jobs!$V196)</f>
        <v/>
      </c>
      <c r="I196" s="42" t="str">
        <f aca="false">IF(Jobs!$A196="","",Jobs!$X196)</f>
        <v/>
      </c>
      <c r="J196" s="42" t="str">
        <f aca="false">IF(Jobs!$A196="","",Jobs!$Y196)</f>
        <v/>
      </c>
      <c r="K196" s="42" t="str">
        <f aca="false">IF(Jobs!$A196="","",Jobs!$Z196)</f>
        <v/>
      </c>
      <c r="L196" s="41" t="str">
        <f aca="false">IF(Jobs!$A196="","",IF(Jobs!$Z196&lt;&gt;"","Rejected",IF(Jobs!$Y196&lt;&gt;"","Offer",IF(Jobs!$X196&lt;&gt;"","Interview",IF(Jobs!$V196&lt;&gt;"","Responded",IF(Jobs!$U196&lt;&gt;"","Contacted",IF(Jobs!$T196&lt;&gt;"","Applied","Not applied yet")))))))</f>
        <v/>
      </c>
      <c r="M196" s="41" t="str">
        <f aca="false">IF(Jobs!$A196="","",Jobs!$AB196)</f>
        <v/>
      </c>
      <c r="N196" s="42" t="str">
        <f aca="false">IF(Jobs!$A196="","",Jobs!$AA196)</f>
        <v/>
      </c>
    </row>
    <row r="197" customFormat="false" ht="15" hidden="false" customHeight="false" outlineLevel="0" collapsed="false">
      <c r="A197" s="41" t="str">
        <f aca="false">IF(Jobs!$A197="","",Jobs!$A197)</f>
        <v/>
      </c>
      <c r="B197" s="13" t="str">
        <f aca="false">IF(Jobs!$A197="","",Jobs!$E197)</f>
        <v/>
      </c>
      <c r="C197" s="13" t="str">
        <f aca="false">IF(Jobs!$A197="","",Jobs!$F197)</f>
        <v/>
      </c>
      <c r="D197" s="41" t="str">
        <f aca="false">IF(Jobs!$A197="","",Jobs!$P197)</f>
        <v/>
      </c>
      <c r="E197" s="41" t="str">
        <f aca="false">IF(Jobs!$A197="","",Jobs!$S197)</f>
        <v/>
      </c>
      <c r="F197" s="42" t="str">
        <f aca="false">IF(Jobs!$A197="","",Jobs!$T197)</f>
        <v/>
      </c>
      <c r="G197" s="42" t="str">
        <f aca="false">IF(Jobs!$A197="","",Jobs!$U197)</f>
        <v/>
      </c>
      <c r="H197" s="42" t="str">
        <f aca="false">IF(Jobs!$A197="","",Jobs!$V197)</f>
        <v/>
      </c>
      <c r="I197" s="42" t="str">
        <f aca="false">IF(Jobs!$A197="","",Jobs!$X197)</f>
        <v/>
      </c>
      <c r="J197" s="42" t="str">
        <f aca="false">IF(Jobs!$A197="","",Jobs!$Y197)</f>
        <v/>
      </c>
      <c r="K197" s="42" t="str">
        <f aca="false">IF(Jobs!$A197="","",Jobs!$Z197)</f>
        <v/>
      </c>
      <c r="L197" s="41" t="str">
        <f aca="false">IF(Jobs!$A197="","",IF(Jobs!$Z197&lt;&gt;"","Rejected",IF(Jobs!$Y197&lt;&gt;"","Offer",IF(Jobs!$X197&lt;&gt;"","Interview",IF(Jobs!$V197&lt;&gt;"","Responded",IF(Jobs!$U197&lt;&gt;"","Contacted",IF(Jobs!$T197&lt;&gt;"","Applied","Not applied yet")))))))</f>
        <v/>
      </c>
      <c r="M197" s="41" t="str">
        <f aca="false">IF(Jobs!$A197="","",Jobs!$AB197)</f>
        <v/>
      </c>
      <c r="N197" s="42" t="str">
        <f aca="false">IF(Jobs!$A197="","",Jobs!$AA197)</f>
        <v/>
      </c>
    </row>
    <row r="198" customFormat="false" ht="15" hidden="false" customHeight="false" outlineLevel="0" collapsed="false">
      <c r="A198" s="41" t="str">
        <f aca="false">IF(Jobs!$A198="","",Jobs!$A198)</f>
        <v/>
      </c>
      <c r="B198" s="13" t="str">
        <f aca="false">IF(Jobs!$A198="","",Jobs!$E198)</f>
        <v/>
      </c>
      <c r="C198" s="13" t="str">
        <f aca="false">IF(Jobs!$A198="","",Jobs!$F198)</f>
        <v/>
      </c>
      <c r="D198" s="41" t="str">
        <f aca="false">IF(Jobs!$A198="","",Jobs!$P198)</f>
        <v/>
      </c>
      <c r="E198" s="41" t="str">
        <f aca="false">IF(Jobs!$A198="","",Jobs!$S198)</f>
        <v/>
      </c>
      <c r="F198" s="42" t="str">
        <f aca="false">IF(Jobs!$A198="","",Jobs!$T198)</f>
        <v/>
      </c>
      <c r="G198" s="42" t="str">
        <f aca="false">IF(Jobs!$A198="","",Jobs!$U198)</f>
        <v/>
      </c>
      <c r="H198" s="42" t="str">
        <f aca="false">IF(Jobs!$A198="","",Jobs!$V198)</f>
        <v/>
      </c>
      <c r="I198" s="42" t="str">
        <f aca="false">IF(Jobs!$A198="","",Jobs!$X198)</f>
        <v/>
      </c>
      <c r="J198" s="42" t="str">
        <f aca="false">IF(Jobs!$A198="","",Jobs!$Y198)</f>
        <v/>
      </c>
      <c r="K198" s="42" t="str">
        <f aca="false">IF(Jobs!$A198="","",Jobs!$Z198)</f>
        <v/>
      </c>
      <c r="L198" s="41" t="str">
        <f aca="false">IF(Jobs!$A198="","",IF(Jobs!$Z198&lt;&gt;"","Rejected",IF(Jobs!$Y198&lt;&gt;"","Offer",IF(Jobs!$X198&lt;&gt;"","Interview",IF(Jobs!$V198&lt;&gt;"","Responded",IF(Jobs!$U198&lt;&gt;"","Contacted",IF(Jobs!$T198&lt;&gt;"","Applied","Not applied yet")))))))</f>
        <v/>
      </c>
      <c r="M198" s="41" t="str">
        <f aca="false">IF(Jobs!$A198="","",Jobs!$AB198)</f>
        <v/>
      </c>
      <c r="N198" s="42" t="str">
        <f aca="false">IF(Jobs!$A198="","",Jobs!$AA198)</f>
        <v/>
      </c>
    </row>
    <row r="199" customFormat="false" ht="15" hidden="false" customHeight="false" outlineLevel="0" collapsed="false">
      <c r="A199" s="41" t="str">
        <f aca="false">IF(Jobs!$A199="","",Jobs!$A199)</f>
        <v/>
      </c>
      <c r="B199" s="13" t="str">
        <f aca="false">IF(Jobs!$A199="","",Jobs!$E199)</f>
        <v/>
      </c>
      <c r="C199" s="13" t="str">
        <f aca="false">IF(Jobs!$A199="","",Jobs!$F199)</f>
        <v/>
      </c>
      <c r="D199" s="41" t="str">
        <f aca="false">IF(Jobs!$A199="","",Jobs!$P199)</f>
        <v/>
      </c>
      <c r="E199" s="41" t="str">
        <f aca="false">IF(Jobs!$A199="","",Jobs!$S199)</f>
        <v/>
      </c>
      <c r="F199" s="42" t="str">
        <f aca="false">IF(Jobs!$A199="","",Jobs!$T199)</f>
        <v/>
      </c>
      <c r="G199" s="42" t="str">
        <f aca="false">IF(Jobs!$A199="","",Jobs!$U199)</f>
        <v/>
      </c>
      <c r="H199" s="42" t="str">
        <f aca="false">IF(Jobs!$A199="","",Jobs!$V199)</f>
        <v/>
      </c>
      <c r="I199" s="42" t="str">
        <f aca="false">IF(Jobs!$A199="","",Jobs!$X199)</f>
        <v/>
      </c>
      <c r="J199" s="42" t="str">
        <f aca="false">IF(Jobs!$A199="","",Jobs!$Y199)</f>
        <v/>
      </c>
      <c r="K199" s="42" t="str">
        <f aca="false">IF(Jobs!$A199="","",Jobs!$Z199)</f>
        <v/>
      </c>
      <c r="L199" s="41" t="str">
        <f aca="false">IF(Jobs!$A199="","",IF(Jobs!$Z199&lt;&gt;"","Rejected",IF(Jobs!$Y199&lt;&gt;"","Offer",IF(Jobs!$X199&lt;&gt;"","Interview",IF(Jobs!$V199&lt;&gt;"","Responded",IF(Jobs!$U199&lt;&gt;"","Contacted",IF(Jobs!$T199&lt;&gt;"","Applied","Not applied yet")))))))</f>
        <v/>
      </c>
      <c r="M199" s="41" t="str">
        <f aca="false">IF(Jobs!$A199="","",Jobs!$AB199)</f>
        <v/>
      </c>
      <c r="N199" s="42" t="str">
        <f aca="false">IF(Jobs!$A199="","",Jobs!$AA199)</f>
        <v/>
      </c>
    </row>
    <row r="200" customFormat="false" ht="15" hidden="false" customHeight="false" outlineLevel="0" collapsed="false">
      <c r="A200" s="41" t="str">
        <f aca="false">IF(Jobs!$A200="","",Jobs!$A200)</f>
        <v/>
      </c>
      <c r="B200" s="13" t="str">
        <f aca="false">IF(Jobs!$A200="","",Jobs!$E200)</f>
        <v/>
      </c>
      <c r="C200" s="13" t="str">
        <f aca="false">IF(Jobs!$A200="","",Jobs!$F200)</f>
        <v/>
      </c>
      <c r="D200" s="41" t="str">
        <f aca="false">IF(Jobs!$A200="","",Jobs!$P200)</f>
        <v/>
      </c>
      <c r="E200" s="41" t="str">
        <f aca="false">IF(Jobs!$A200="","",Jobs!$S200)</f>
        <v/>
      </c>
      <c r="F200" s="42" t="str">
        <f aca="false">IF(Jobs!$A200="","",Jobs!$T200)</f>
        <v/>
      </c>
      <c r="G200" s="42" t="str">
        <f aca="false">IF(Jobs!$A200="","",Jobs!$U200)</f>
        <v/>
      </c>
      <c r="H200" s="42" t="str">
        <f aca="false">IF(Jobs!$A200="","",Jobs!$V200)</f>
        <v/>
      </c>
      <c r="I200" s="42" t="str">
        <f aca="false">IF(Jobs!$A200="","",Jobs!$X200)</f>
        <v/>
      </c>
      <c r="J200" s="42" t="str">
        <f aca="false">IF(Jobs!$A200="","",Jobs!$Y200)</f>
        <v/>
      </c>
      <c r="K200" s="42" t="str">
        <f aca="false">IF(Jobs!$A200="","",Jobs!$Z200)</f>
        <v/>
      </c>
      <c r="L200" s="41" t="str">
        <f aca="false">IF(Jobs!$A200="","",IF(Jobs!$Z200&lt;&gt;"","Rejected",IF(Jobs!$Y200&lt;&gt;"","Offer",IF(Jobs!$X200&lt;&gt;"","Interview",IF(Jobs!$V200&lt;&gt;"","Responded",IF(Jobs!$U200&lt;&gt;"","Contacted",IF(Jobs!$T200&lt;&gt;"","Applied","Not applied yet")))))))</f>
        <v/>
      </c>
      <c r="M200" s="41" t="str">
        <f aca="false">IF(Jobs!$A200="","",Jobs!$AB200)</f>
        <v/>
      </c>
      <c r="N200" s="42" t="str">
        <f aca="false">IF(Jobs!$A200="","",Jobs!$AA200)</f>
        <v/>
      </c>
    </row>
    <row r="201" customFormat="false" ht="15" hidden="false" customHeight="false" outlineLevel="0" collapsed="false">
      <c r="A201" s="41" t="str">
        <f aca="false">IF(Jobs!$A201="","",Jobs!$A201)</f>
        <v/>
      </c>
      <c r="B201" s="13" t="str">
        <f aca="false">IF(Jobs!$A201="","",Jobs!$E201)</f>
        <v/>
      </c>
      <c r="C201" s="13" t="str">
        <f aca="false">IF(Jobs!$A201="","",Jobs!$F201)</f>
        <v/>
      </c>
      <c r="D201" s="41" t="str">
        <f aca="false">IF(Jobs!$A201="","",Jobs!$P201)</f>
        <v/>
      </c>
      <c r="E201" s="41" t="str">
        <f aca="false">IF(Jobs!$A201="","",Jobs!$S201)</f>
        <v/>
      </c>
      <c r="F201" s="42" t="str">
        <f aca="false">IF(Jobs!$A201="","",Jobs!$T201)</f>
        <v/>
      </c>
      <c r="G201" s="42" t="str">
        <f aca="false">IF(Jobs!$A201="","",Jobs!$U201)</f>
        <v/>
      </c>
      <c r="H201" s="42" t="str">
        <f aca="false">IF(Jobs!$A201="","",Jobs!$V201)</f>
        <v/>
      </c>
      <c r="I201" s="42" t="str">
        <f aca="false">IF(Jobs!$A201="","",Jobs!$X201)</f>
        <v/>
      </c>
      <c r="J201" s="42" t="str">
        <f aca="false">IF(Jobs!$A201="","",Jobs!$Y201)</f>
        <v/>
      </c>
      <c r="K201" s="42" t="str">
        <f aca="false">IF(Jobs!$A201="","",Jobs!$Z201)</f>
        <v/>
      </c>
      <c r="L201" s="41" t="str">
        <f aca="false">IF(Jobs!$A201="","",IF(Jobs!$Z201&lt;&gt;"","Rejected",IF(Jobs!$Y201&lt;&gt;"","Offer",IF(Jobs!$X201&lt;&gt;"","Interview",IF(Jobs!$V201&lt;&gt;"","Responded",IF(Jobs!$U201&lt;&gt;"","Contacted",IF(Jobs!$T201&lt;&gt;"","Applied","Not applied yet")))))))</f>
        <v/>
      </c>
      <c r="M201" s="41" t="str">
        <f aca="false">IF(Jobs!$A201="","",Jobs!$AB201)</f>
        <v/>
      </c>
      <c r="N201" s="42" t="str">
        <f aca="false">IF(Jobs!$A201="","",Jobs!$AA201)</f>
        <v/>
      </c>
    </row>
  </sheetData>
  <conditionalFormatting sqref="E2:E201">
    <cfRule type="cellIs" priority="2" operator="equal" aboveAverage="0" equalAverage="0" bottom="0" percent="0" rank="0" text="" dxfId="8">
      <formula>"Applied"</formula>
    </cfRule>
    <cfRule type="cellIs" priority="3" operator="equal" aboveAverage="0" equalAverage="0" bottom="0" percent="0" rank="0" text="" dxfId="9">
      <formula>"Contacted"</formula>
    </cfRule>
    <cfRule type="cellIs" priority="4" operator="equal" aboveAverage="0" equalAverage="0" bottom="0" percent="0" rank="0" text="" dxfId="10">
      <formula>"Responded"</formula>
    </cfRule>
    <cfRule type="cellIs" priority="5" operator="equal" aboveAverage="0" equalAverage="0" bottom="0" percent="0" rank="0" text="" dxfId="11">
      <formula>"Interview"</formula>
    </cfRule>
    <cfRule type="cellIs" priority="6" operator="equal" aboveAverage="0" equalAverage="0" bottom="0" percent="0" rank="0" text="" dxfId="12">
      <formula>"Offer"</formula>
    </cfRule>
    <cfRule type="cellIs" priority="7" operator="equal" aboveAverage="0" equalAverage="0" bottom="0" percent="0" rank="0" text="" dxfId="13">
      <formula>"Rejected"</formula>
    </cfRule>
    <cfRule type="cellIs" priority="8" operator="equal" aboveAverage="0" equalAverage="0" bottom="0" percent="0" rank="0" text="" dxfId="14">
      <formula>"Ghosted"</formula>
    </cfRule>
    <cfRule type="cellIs" priority="9" operator="equal" aboveAverage="0" equalAverage="0" bottom="0" percent="0" rank="0" text="" dxfId="14">
      <formula>"Declined"</formula>
    </cfRule>
    <cfRule type="cellIs" priority="10" operator="equal" aboveAverage="0" equalAverage="0" bottom="0" percent="0" rank="0" text="" dxfId="21">
      <formula>"Not applied yet"</formula>
    </cfRule>
  </conditionalFormatting>
  <conditionalFormatting sqref="L2:L201">
    <cfRule type="cellIs" priority="11" operator="equal" aboveAverage="0" equalAverage="0" bottom="0" percent="0" rank="0" text="" dxfId="8">
      <formula>"Applied"</formula>
    </cfRule>
    <cfRule type="cellIs" priority="12" operator="equal" aboveAverage="0" equalAverage="0" bottom="0" percent="0" rank="0" text="" dxfId="9">
      <formula>"Contacted"</formula>
    </cfRule>
    <cfRule type="cellIs" priority="13" operator="equal" aboveAverage="0" equalAverage="0" bottom="0" percent="0" rank="0" text="" dxfId="10">
      <formula>"Responded"</formula>
    </cfRule>
    <cfRule type="cellIs" priority="14" operator="equal" aboveAverage="0" equalAverage="0" bottom="0" percent="0" rank="0" text="" dxfId="11">
      <formula>"Interview"</formula>
    </cfRule>
    <cfRule type="cellIs" priority="15" operator="equal" aboveAverage="0" equalAverage="0" bottom="0" percent="0" rank="0" text="" dxfId="12">
      <formula>"Offer"</formula>
    </cfRule>
    <cfRule type="cellIs" priority="16" operator="equal" aboveAverage="0" equalAverage="0" bottom="0" percent="0" rank="0" text="" dxfId="13">
      <formula>"Rejected"</formula>
    </cfRule>
    <cfRule type="cellIs" priority="17" operator="equal" aboveAverage="0" equalAverage="0" bottom="0" percent="0" rank="0" text="" dxfId="14">
      <formula>"Ghosted"</formula>
    </cfRule>
    <cfRule type="cellIs" priority="18" operator="equal" aboveAverage="0" equalAverage="0" bottom="0" percent="0" rank="0" text="" dxfId="14">
      <formula>"Declined"</formula>
    </cfRule>
    <cfRule type="cellIs" priority="19" operator="equal" aboveAverage="0" equalAverage="0" bottom="0" percent="0" rank="0" text="" dxfId="21">
      <formula>"Not applied yet"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2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48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5" hidden="false" customHeight="true" outlineLevel="0" collapsed="false">
      <c r="A1" s="47" t="s">
        <v>356</v>
      </c>
      <c r="B1" s="47"/>
      <c r="C1" s="47"/>
      <c r="D1" s="47"/>
      <c r="E1" s="47"/>
      <c r="F1" s="47"/>
      <c r="G1" s="47"/>
    </row>
    <row r="2" customFormat="false" ht="23.85" hidden="false" customHeight="false" outlineLevel="0" collapsed="false">
      <c r="A2" s="48" t="s">
        <v>357</v>
      </c>
      <c r="B2" s="48" t="s">
        <v>49</v>
      </c>
      <c r="C2" s="48" t="s">
        <v>358</v>
      </c>
      <c r="D2" s="48" t="s">
        <v>359</v>
      </c>
      <c r="E2" s="48" t="s">
        <v>360</v>
      </c>
      <c r="F2" s="48" t="s">
        <v>361</v>
      </c>
      <c r="G2" s="48" t="s">
        <v>69</v>
      </c>
    </row>
    <row r="3" customFormat="false" ht="22.35" hidden="false" customHeight="false" outlineLevel="0" collapsed="false">
      <c r="A3" s="42" t="n">
        <v>46318</v>
      </c>
      <c r="B3" s="41" t="s">
        <v>76</v>
      </c>
      <c r="C3" s="49" t="str">
        <f aca="false">IFERROR(INDEX(Jobs!$E:$E,MATCH($B3,Jobs!$A:$A,0)),"")</f>
        <v>Feature Solutions</v>
      </c>
      <c r="D3" s="41" t="s">
        <v>362</v>
      </c>
      <c r="E3" s="50" t="s">
        <v>363</v>
      </c>
      <c r="F3" s="41" t="s">
        <v>364</v>
      </c>
      <c r="G3" s="42" t="n">
        <v>46321</v>
      </c>
    </row>
    <row r="4" customFormat="false" ht="15" hidden="false" customHeight="false" outlineLevel="0" collapsed="false">
      <c r="A4" s="42"/>
      <c r="B4" s="41"/>
      <c r="C4" s="49" t="str">
        <f aca="false">IFERROR(INDEX(Jobs!$E:$E,MATCH($B4,Jobs!$A:$A,0)),"")</f>
        <v/>
      </c>
      <c r="D4" s="41"/>
      <c r="E4" s="13"/>
      <c r="F4" s="41"/>
      <c r="G4" s="42"/>
    </row>
    <row r="5" customFormat="false" ht="15" hidden="false" customHeight="false" outlineLevel="0" collapsed="false">
      <c r="A5" s="42"/>
      <c r="B5" s="41"/>
      <c r="C5" s="49" t="str">
        <f aca="false">IFERROR(INDEX(Jobs!$E:$E,MATCH($B5,Jobs!$A:$A,0)),"")</f>
        <v/>
      </c>
      <c r="D5" s="41"/>
      <c r="E5" s="13"/>
      <c r="F5" s="41"/>
      <c r="G5" s="42"/>
    </row>
    <row r="6" customFormat="false" ht="15" hidden="false" customHeight="false" outlineLevel="0" collapsed="false">
      <c r="A6" s="42"/>
      <c r="B6" s="41"/>
      <c r="C6" s="49" t="str">
        <f aca="false">IFERROR(INDEX(Jobs!$E:$E,MATCH($B6,Jobs!$A:$A,0)),"")</f>
        <v/>
      </c>
      <c r="D6" s="41"/>
      <c r="E6" s="13"/>
      <c r="F6" s="41"/>
      <c r="G6" s="42"/>
    </row>
    <row r="7" customFormat="false" ht="15" hidden="false" customHeight="false" outlineLevel="0" collapsed="false">
      <c r="A7" s="42"/>
      <c r="B7" s="41"/>
      <c r="C7" s="49" t="str">
        <f aca="false">IFERROR(INDEX(Jobs!$E:$E,MATCH($B7,Jobs!$A:$A,0)),"")</f>
        <v/>
      </c>
      <c r="D7" s="41"/>
      <c r="E7" s="13"/>
      <c r="F7" s="41"/>
      <c r="G7" s="42"/>
    </row>
    <row r="8" customFormat="false" ht="15" hidden="false" customHeight="false" outlineLevel="0" collapsed="false">
      <c r="A8" s="42"/>
      <c r="B8" s="41"/>
      <c r="C8" s="49" t="str">
        <f aca="false">IFERROR(INDEX(Jobs!$E:$E,MATCH($B8,Jobs!$A:$A,0)),"")</f>
        <v/>
      </c>
      <c r="D8" s="41"/>
      <c r="E8" s="13"/>
      <c r="F8" s="41"/>
      <c r="G8" s="42"/>
    </row>
    <row r="9" customFormat="false" ht="15" hidden="false" customHeight="false" outlineLevel="0" collapsed="false">
      <c r="A9" s="42"/>
      <c r="B9" s="41"/>
      <c r="C9" s="49" t="str">
        <f aca="false">IFERROR(INDEX(Jobs!$E:$E,MATCH($B9,Jobs!$A:$A,0)),"")</f>
        <v/>
      </c>
      <c r="D9" s="41"/>
      <c r="E9" s="13"/>
      <c r="F9" s="41"/>
      <c r="G9" s="42"/>
    </row>
    <row r="10" customFormat="false" ht="15" hidden="false" customHeight="false" outlineLevel="0" collapsed="false">
      <c r="A10" s="42"/>
      <c r="B10" s="41"/>
      <c r="C10" s="49" t="str">
        <f aca="false">IFERROR(INDEX(Jobs!$E:$E,MATCH($B10,Jobs!$A:$A,0)),"")</f>
        <v/>
      </c>
      <c r="D10" s="41"/>
      <c r="E10" s="13"/>
      <c r="F10" s="41"/>
      <c r="G10" s="42"/>
    </row>
    <row r="11" customFormat="false" ht="15" hidden="false" customHeight="false" outlineLevel="0" collapsed="false">
      <c r="A11" s="42"/>
      <c r="B11" s="41"/>
      <c r="C11" s="49" t="str">
        <f aca="false">IFERROR(INDEX(Jobs!$E:$E,MATCH($B11,Jobs!$A:$A,0)),"")</f>
        <v/>
      </c>
      <c r="D11" s="41"/>
      <c r="E11" s="13"/>
      <c r="F11" s="41"/>
      <c r="G11" s="42"/>
    </row>
    <row r="12" customFormat="false" ht="15" hidden="false" customHeight="false" outlineLevel="0" collapsed="false">
      <c r="A12" s="42"/>
      <c r="B12" s="41"/>
      <c r="C12" s="49" t="str">
        <f aca="false">IFERROR(INDEX(Jobs!$E:$E,MATCH($B12,Jobs!$A:$A,0)),"")</f>
        <v/>
      </c>
      <c r="D12" s="41"/>
      <c r="E12" s="13"/>
      <c r="F12" s="41"/>
      <c r="G12" s="42"/>
    </row>
    <row r="13" customFormat="false" ht="15" hidden="false" customHeight="false" outlineLevel="0" collapsed="false">
      <c r="A13" s="42"/>
      <c r="B13" s="41"/>
      <c r="C13" s="49" t="str">
        <f aca="false">IFERROR(INDEX(Jobs!$E:$E,MATCH($B13,Jobs!$A:$A,0)),"")</f>
        <v/>
      </c>
      <c r="D13" s="41"/>
      <c r="E13" s="13"/>
      <c r="F13" s="41"/>
      <c r="G13" s="42"/>
    </row>
    <row r="14" customFormat="false" ht="15" hidden="false" customHeight="false" outlineLevel="0" collapsed="false">
      <c r="A14" s="42"/>
      <c r="B14" s="41"/>
      <c r="C14" s="49" t="str">
        <f aca="false">IFERROR(INDEX(Jobs!$E:$E,MATCH($B14,Jobs!$A:$A,0)),"")</f>
        <v/>
      </c>
      <c r="D14" s="41"/>
      <c r="E14" s="13"/>
      <c r="F14" s="41"/>
      <c r="G14" s="42"/>
    </row>
    <row r="15" customFormat="false" ht="15" hidden="false" customHeight="false" outlineLevel="0" collapsed="false">
      <c r="A15" s="42"/>
      <c r="B15" s="41"/>
      <c r="C15" s="49" t="str">
        <f aca="false">IFERROR(INDEX(Jobs!$E:$E,MATCH($B15,Jobs!$A:$A,0)),"")</f>
        <v/>
      </c>
      <c r="D15" s="41"/>
      <c r="E15" s="13"/>
      <c r="F15" s="41"/>
      <c r="G15" s="42"/>
    </row>
    <row r="16" customFormat="false" ht="15" hidden="false" customHeight="false" outlineLevel="0" collapsed="false">
      <c r="A16" s="42"/>
      <c r="B16" s="41"/>
      <c r="C16" s="49" t="str">
        <f aca="false">IFERROR(INDEX(Jobs!$E:$E,MATCH($B16,Jobs!$A:$A,0)),"")</f>
        <v/>
      </c>
      <c r="D16" s="41"/>
      <c r="E16" s="13"/>
      <c r="F16" s="41"/>
      <c r="G16" s="42"/>
    </row>
    <row r="17" customFormat="false" ht="15" hidden="false" customHeight="false" outlineLevel="0" collapsed="false">
      <c r="A17" s="42"/>
      <c r="B17" s="41"/>
      <c r="C17" s="49" t="str">
        <f aca="false">IFERROR(INDEX(Jobs!$E:$E,MATCH($B17,Jobs!$A:$A,0)),"")</f>
        <v/>
      </c>
      <c r="D17" s="41"/>
      <c r="E17" s="13"/>
      <c r="F17" s="41"/>
      <c r="G17" s="42"/>
    </row>
    <row r="18" customFormat="false" ht="15" hidden="false" customHeight="false" outlineLevel="0" collapsed="false">
      <c r="A18" s="42"/>
      <c r="B18" s="41"/>
      <c r="C18" s="49" t="str">
        <f aca="false">IFERROR(INDEX(Jobs!$E:$E,MATCH($B18,Jobs!$A:$A,0)),"")</f>
        <v/>
      </c>
      <c r="D18" s="41"/>
      <c r="E18" s="13"/>
      <c r="F18" s="41"/>
      <c r="G18" s="42"/>
    </row>
    <row r="19" customFormat="false" ht="15" hidden="false" customHeight="false" outlineLevel="0" collapsed="false">
      <c r="A19" s="42"/>
      <c r="B19" s="41"/>
      <c r="C19" s="49" t="str">
        <f aca="false">IFERROR(INDEX(Jobs!$E:$E,MATCH($B19,Jobs!$A:$A,0)),"")</f>
        <v/>
      </c>
      <c r="D19" s="41"/>
      <c r="E19" s="13"/>
      <c r="F19" s="41"/>
      <c r="G19" s="42"/>
    </row>
    <row r="20" customFormat="false" ht="15" hidden="false" customHeight="false" outlineLevel="0" collapsed="false">
      <c r="A20" s="42"/>
      <c r="B20" s="41"/>
      <c r="C20" s="49" t="str">
        <f aca="false">IFERROR(INDEX(Jobs!$E:$E,MATCH($B20,Jobs!$A:$A,0)),"")</f>
        <v/>
      </c>
      <c r="D20" s="41"/>
      <c r="E20" s="13"/>
      <c r="F20" s="41"/>
      <c r="G20" s="42"/>
    </row>
    <row r="21" customFormat="false" ht="15" hidden="false" customHeight="false" outlineLevel="0" collapsed="false">
      <c r="A21" s="42"/>
      <c r="B21" s="41"/>
      <c r="C21" s="49" t="str">
        <f aca="false">IFERROR(INDEX(Jobs!$E:$E,MATCH($B21,Jobs!$A:$A,0)),"")</f>
        <v/>
      </c>
      <c r="D21" s="41"/>
      <c r="E21" s="13"/>
      <c r="F21" s="41"/>
      <c r="G21" s="42"/>
    </row>
    <row r="22" customFormat="false" ht="15" hidden="false" customHeight="false" outlineLevel="0" collapsed="false">
      <c r="A22" s="42"/>
      <c r="B22" s="41"/>
      <c r="C22" s="49" t="str">
        <f aca="false">IFERROR(INDEX(Jobs!$E:$E,MATCH($B22,Jobs!$A:$A,0)),"")</f>
        <v/>
      </c>
      <c r="D22" s="41"/>
      <c r="E22" s="13"/>
      <c r="F22" s="41"/>
      <c r="G22" s="42"/>
    </row>
    <row r="23" customFormat="false" ht="15" hidden="false" customHeight="false" outlineLevel="0" collapsed="false">
      <c r="A23" s="42"/>
      <c r="B23" s="41"/>
      <c r="C23" s="49" t="str">
        <f aca="false">IFERROR(INDEX(Jobs!$E:$E,MATCH($B23,Jobs!$A:$A,0)),"")</f>
        <v/>
      </c>
      <c r="D23" s="41"/>
      <c r="E23" s="13"/>
      <c r="F23" s="41"/>
      <c r="G23" s="42"/>
    </row>
    <row r="24" customFormat="false" ht="15" hidden="false" customHeight="false" outlineLevel="0" collapsed="false">
      <c r="A24" s="42"/>
      <c r="B24" s="41"/>
      <c r="C24" s="49" t="str">
        <f aca="false">IFERROR(INDEX(Jobs!$E:$E,MATCH($B24,Jobs!$A:$A,0)),"")</f>
        <v/>
      </c>
      <c r="D24" s="41"/>
      <c r="E24" s="13"/>
      <c r="F24" s="41"/>
      <c r="G24" s="42"/>
    </row>
    <row r="25" customFormat="false" ht="15" hidden="false" customHeight="false" outlineLevel="0" collapsed="false">
      <c r="A25" s="42"/>
      <c r="B25" s="41"/>
      <c r="C25" s="49" t="str">
        <f aca="false">IFERROR(INDEX(Jobs!$E:$E,MATCH($B25,Jobs!$A:$A,0)),"")</f>
        <v/>
      </c>
      <c r="D25" s="41"/>
      <c r="E25" s="13"/>
      <c r="F25" s="41"/>
      <c r="G25" s="42"/>
    </row>
    <row r="26" customFormat="false" ht="15" hidden="false" customHeight="false" outlineLevel="0" collapsed="false">
      <c r="A26" s="42"/>
      <c r="B26" s="41"/>
      <c r="C26" s="49" t="str">
        <f aca="false">IFERROR(INDEX(Jobs!$E:$E,MATCH($B26,Jobs!$A:$A,0)),"")</f>
        <v/>
      </c>
      <c r="D26" s="41"/>
      <c r="E26" s="13"/>
      <c r="F26" s="41"/>
      <c r="G26" s="42"/>
    </row>
    <row r="27" customFormat="false" ht="15" hidden="false" customHeight="false" outlineLevel="0" collapsed="false">
      <c r="A27" s="42"/>
      <c r="B27" s="41"/>
      <c r="C27" s="49" t="str">
        <f aca="false">IFERROR(INDEX(Jobs!$E:$E,MATCH($B27,Jobs!$A:$A,0)),"")</f>
        <v/>
      </c>
      <c r="D27" s="41"/>
      <c r="E27" s="13"/>
      <c r="F27" s="41"/>
      <c r="G27" s="42"/>
    </row>
    <row r="28" customFormat="false" ht="15" hidden="false" customHeight="false" outlineLevel="0" collapsed="false">
      <c r="A28" s="42"/>
      <c r="B28" s="41"/>
      <c r="C28" s="49" t="str">
        <f aca="false">IFERROR(INDEX(Jobs!$E:$E,MATCH($B28,Jobs!$A:$A,0)),"")</f>
        <v/>
      </c>
      <c r="D28" s="41"/>
      <c r="E28" s="13"/>
      <c r="F28" s="41"/>
      <c r="G28" s="42"/>
    </row>
    <row r="29" customFormat="false" ht="15" hidden="false" customHeight="false" outlineLevel="0" collapsed="false">
      <c r="A29" s="42"/>
      <c r="B29" s="41"/>
      <c r="C29" s="49" t="str">
        <f aca="false">IFERROR(INDEX(Jobs!$E:$E,MATCH($B29,Jobs!$A:$A,0)),"")</f>
        <v/>
      </c>
      <c r="D29" s="41"/>
      <c r="E29" s="13"/>
      <c r="F29" s="41"/>
      <c r="G29" s="42"/>
    </row>
    <row r="30" customFormat="false" ht="15" hidden="false" customHeight="false" outlineLevel="0" collapsed="false">
      <c r="A30" s="42"/>
      <c r="B30" s="41"/>
      <c r="C30" s="49" t="str">
        <f aca="false">IFERROR(INDEX(Jobs!$E:$E,MATCH($B30,Jobs!$A:$A,0)),"")</f>
        <v/>
      </c>
      <c r="D30" s="41"/>
      <c r="E30" s="13"/>
      <c r="F30" s="41"/>
      <c r="G30" s="42"/>
    </row>
    <row r="31" customFormat="false" ht="15" hidden="false" customHeight="false" outlineLevel="0" collapsed="false">
      <c r="A31" s="42"/>
      <c r="B31" s="41"/>
      <c r="C31" s="49" t="str">
        <f aca="false">IFERROR(INDEX(Jobs!$E:$E,MATCH($B31,Jobs!$A:$A,0)),"")</f>
        <v/>
      </c>
      <c r="D31" s="41"/>
      <c r="E31" s="13"/>
      <c r="F31" s="41"/>
      <c r="G31" s="42"/>
    </row>
    <row r="32" customFormat="false" ht="15" hidden="false" customHeight="false" outlineLevel="0" collapsed="false">
      <c r="A32" s="42"/>
      <c r="B32" s="41"/>
      <c r="C32" s="49" t="str">
        <f aca="false">IFERROR(INDEX(Jobs!$E:$E,MATCH($B32,Jobs!$A:$A,0)),"")</f>
        <v/>
      </c>
      <c r="D32" s="41"/>
      <c r="E32" s="13"/>
      <c r="F32" s="41"/>
      <c r="G32" s="42"/>
    </row>
    <row r="33" customFormat="false" ht="15" hidden="false" customHeight="false" outlineLevel="0" collapsed="false">
      <c r="A33" s="42"/>
      <c r="B33" s="41"/>
      <c r="C33" s="49" t="str">
        <f aca="false">IFERROR(INDEX(Jobs!$E:$E,MATCH($B33,Jobs!$A:$A,0)),"")</f>
        <v/>
      </c>
      <c r="D33" s="41"/>
      <c r="E33" s="13"/>
      <c r="F33" s="41"/>
      <c r="G33" s="42"/>
    </row>
    <row r="34" customFormat="false" ht="15" hidden="false" customHeight="false" outlineLevel="0" collapsed="false">
      <c r="A34" s="42"/>
      <c r="B34" s="41"/>
      <c r="C34" s="49" t="str">
        <f aca="false">IFERROR(INDEX(Jobs!$E:$E,MATCH($B34,Jobs!$A:$A,0)),"")</f>
        <v/>
      </c>
      <c r="D34" s="41"/>
      <c r="E34" s="13"/>
      <c r="F34" s="41"/>
      <c r="G34" s="42"/>
    </row>
    <row r="35" customFormat="false" ht="15" hidden="false" customHeight="false" outlineLevel="0" collapsed="false">
      <c r="A35" s="42"/>
      <c r="B35" s="41"/>
      <c r="C35" s="49" t="str">
        <f aca="false">IFERROR(INDEX(Jobs!$E:$E,MATCH($B35,Jobs!$A:$A,0)),"")</f>
        <v/>
      </c>
      <c r="D35" s="41"/>
      <c r="E35" s="13"/>
      <c r="F35" s="41"/>
      <c r="G35" s="42"/>
    </row>
    <row r="36" customFormat="false" ht="15" hidden="false" customHeight="false" outlineLevel="0" collapsed="false">
      <c r="A36" s="42"/>
      <c r="B36" s="41"/>
      <c r="C36" s="49" t="str">
        <f aca="false">IFERROR(INDEX(Jobs!$E:$E,MATCH($B36,Jobs!$A:$A,0)),"")</f>
        <v/>
      </c>
      <c r="D36" s="41"/>
      <c r="E36" s="13"/>
      <c r="F36" s="41"/>
      <c r="G36" s="42"/>
    </row>
    <row r="37" customFormat="false" ht="15" hidden="false" customHeight="false" outlineLevel="0" collapsed="false">
      <c r="A37" s="42"/>
      <c r="B37" s="41"/>
      <c r="C37" s="49" t="str">
        <f aca="false">IFERROR(INDEX(Jobs!$E:$E,MATCH($B37,Jobs!$A:$A,0)),"")</f>
        <v/>
      </c>
      <c r="D37" s="41"/>
      <c r="E37" s="13"/>
      <c r="F37" s="41"/>
      <c r="G37" s="42"/>
    </row>
    <row r="38" customFormat="false" ht="15" hidden="false" customHeight="false" outlineLevel="0" collapsed="false">
      <c r="A38" s="42"/>
      <c r="B38" s="41"/>
      <c r="C38" s="49" t="str">
        <f aca="false">IFERROR(INDEX(Jobs!$E:$E,MATCH($B38,Jobs!$A:$A,0)),"")</f>
        <v/>
      </c>
      <c r="D38" s="41"/>
      <c r="E38" s="13"/>
      <c r="F38" s="41"/>
      <c r="G38" s="42"/>
    </row>
    <row r="39" customFormat="false" ht="15" hidden="false" customHeight="false" outlineLevel="0" collapsed="false">
      <c r="A39" s="42"/>
      <c r="B39" s="41"/>
      <c r="C39" s="49" t="str">
        <f aca="false">IFERROR(INDEX(Jobs!$E:$E,MATCH($B39,Jobs!$A:$A,0)),"")</f>
        <v/>
      </c>
      <c r="D39" s="41"/>
      <c r="E39" s="13"/>
      <c r="F39" s="41"/>
      <c r="G39" s="42"/>
    </row>
    <row r="40" customFormat="false" ht="15" hidden="false" customHeight="false" outlineLevel="0" collapsed="false">
      <c r="A40" s="42"/>
      <c r="B40" s="41"/>
      <c r="C40" s="49" t="str">
        <f aca="false">IFERROR(INDEX(Jobs!$E:$E,MATCH($B40,Jobs!$A:$A,0)),"")</f>
        <v/>
      </c>
      <c r="D40" s="41"/>
      <c r="E40" s="13"/>
      <c r="F40" s="41"/>
      <c r="G40" s="42"/>
    </row>
    <row r="41" customFormat="false" ht="15" hidden="false" customHeight="false" outlineLevel="0" collapsed="false">
      <c r="A41" s="42"/>
      <c r="B41" s="41"/>
      <c r="C41" s="49" t="str">
        <f aca="false">IFERROR(INDEX(Jobs!$E:$E,MATCH($B41,Jobs!$A:$A,0)),"")</f>
        <v/>
      </c>
      <c r="D41" s="41"/>
      <c r="E41" s="13"/>
      <c r="F41" s="41"/>
      <c r="G41" s="42"/>
    </row>
    <row r="42" customFormat="false" ht="15" hidden="false" customHeight="false" outlineLevel="0" collapsed="false">
      <c r="A42" s="42"/>
      <c r="B42" s="41"/>
      <c r="C42" s="49" t="str">
        <f aca="false">IFERROR(INDEX(Jobs!$E:$E,MATCH($B42,Jobs!$A:$A,0)),"")</f>
        <v/>
      </c>
      <c r="D42" s="41"/>
      <c r="E42" s="13"/>
      <c r="F42" s="41"/>
      <c r="G42" s="42"/>
    </row>
    <row r="43" customFormat="false" ht="15" hidden="false" customHeight="false" outlineLevel="0" collapsed="false">
      <c r="A43" s="42"/>
      <c r="B43" s="41"/>
      <c r="C43" s="49" t="str">
        <f aca="false">IFERROR(INDEX(Jobs!$E:$E,MATCH($B43,Jobs!$A:$A,0)),"")</f>
        <v/>
      </c>
      <c r="D43" s="41"/>
      <c r="E43" s="13"/>
      <c r="F43" s="41"/>
      <c r="G43" s="42"/>
    </row>
    <row r="44" customFormat="false" ht="15" hidden="false" customHeight="false" outlineLevel="0" collapsed="false">
      <c r="A44" s="42"/>
      <c r="B44" s="41"/>
      <c r="C44" s="49" t="str">
        <f aca="false">IFERROR(INDEX(Jobs!$E:$E,MATCH($B44,Jobs!$A:$A,0)),"")</f>
        <v/>
      </c>
      <c r="D44" s="41"/>
      <c r="E44" s="13"/>
      <c r="F44" s="41"/>
      <c r="G44" s="42"/>
    </row>
    <row r="45" customFormat="false" ht="15" hidden="false" customHeight="false" outlineLevel="0" collapsed="false">
      <c r="A45" s="42"/>
      <c r="B45" s="41"/>
      <c r="C45" s="49" t="str">
        <f aca="false">IFERROR(INDEX(Jobs!$E:$E,MATCH($B45,Jobs!$A:$A,0)),"")</f>
        <v/>
      </c>
      <c r="D45" s="41"/>
      <c r="E45" s="13"/>
      <c r="F45" s="41"/>
      <c r="G45" s="42"/>
    </row>
    <row r="46" customFormat="false" ht="15" hidden="false" customHeight="false" outlineLevel="0" collapsed="false">
      <c r="A46" s="42"/>
      <c r="B46" s="41"/>
      <c r="C46" s="49" t="str">
        <f aca="false">IFERROR(INDEX(Jobs!$E:$E,MATCH($B46,Jobs!$A:$A,0)),"")</f>
        <v/>
      </c>
      <c r="D46" s="41"/>
      <c r="E46" s="13"/>
      <c r="F46" s="41"/>
      <c r="G46" s="42"/>
    </row>
    <row r="47" customFormat="false" ht="15" hidden="false" customHeight="false" outlineLevel="0" collapsed="false">
      <c r="A47" s="42"/>
      <c r="B47" s="41"/>
      <c r="C47" s="49" t="str">
        <f aca="false">IFERROR(INDEX(Jobs!$E:$E,MATCH($B47,Jobs!$A:$A,0)),"")</f>
        <v/>
      </c>
      <c r="D47" s="41"/>
      <c r="E47" s="13"/>
      <c r="F47" s="41"/>
      <c r="G47" s="42"/>
    </row>
    <row r="48" customFormat="false" ht="15" hidden="false" customHeight="false" outlineLevel="0" collapsed="false">
      <c r="A48" s="42"/>
      <c r="B48" s="41"/>
      <c r="C48" s="49" t="str">
        <f aca="false">IFERROR(INDEX(Jobs!$E:$E,MATCH($B48,Jobs!$A:$A,0)),"")</f>
        <v/>
      </c>
      <c r="D48" s="41"/>
      <c r="E48" s="13"/>
      <c r="F48" s="41"/>
      <c r="G48" s="42"/>
    </row>
    <row r="49" customFormat="false" ht="15" hidden="false" customHeight="false" outlineLevel="0" collapsed="false">
      <c r="A49" s="42"/>
      <c r="B49" s="41"/>
      <c r="C49" s="49" t="str">
        <f aca="false">IFERROR(INDEX(Jobs!$E:$E,MATCH($B49,Jobs!$A:$A,0)),"")</f>
        <v/>
      </c>
      <c r="D49" s="41"/>
      <c r="E49" s="13"/>
      <c r="F49" s="41"/>
      <c r="G49" s="42"/>
    </row>
    <row r="50" customFormat="false" ht="15" hidden="false" customHeight="false" outlineLevel="0" collapsed="false">
      <c r="A50" s="42"/>
      <c r="B50" s="41"/>
      <c r="C50" s="49" t="str">
        <f aca="false">IFERROR(INDEX(Jobs!$E:$E,MATCH($B50,Jobs!$A:$A,0)),"")</f>
        <v/>
      </c>
      <c r="D50" s="41"/>
      <c r="E50" s="13"/>
      <c r="F50" s="41"/>
      <c r="G50" s="42"/>
    </row>
    <row r="51" customFormat="false" ht="15" hidden="false" customHeight="false" outlineLevel="0" collapsed="false">
      <c r="A51" s="42"/>
      <c r="B51" s="41"/>
      <c r="C51" s="49" t="str">
        <f aca="false">IFERROR(INDEX(Jobs!$E:$E,MATCH($B51,Jobs!$A:$A,0)),"")</f>
        <v/>
      </c>
      <c r="D51" s="41"/>
      <c r="E51" s="13"/>
      <c r="F51" s="41"/>
      <c r="G51" s="42"/>
    </row>
    <row r="52" customFormat="false" ht="15" hidden="false" customHeight="false" outlineLevel="0" collapsed="false">
      <c r="A52" s="42"/>
      <c r="B52" s="41"/>
      <c r="C52" s="49" t="str">
        <f aca="false">IFERROR(INDEX(Jobs!$E:$E,MATCH($B52,Jobs!$A:$A,0)),"")</f>
        <v/>
      </c>
      <c r="D52" s="41"/>
      <c r="E52" s="13"/>
      <c r="F52" s="41"/>
      <c r="G52" s="42"/>
    </row>
    <row r="53" customFormat="false" ht="15" hidden="false" customHeight="false" outlineLevel="0" collapsed="false">
      <c r="A53" s="42"/>
      <c r="B53" s="41"/>
      <c r="C53" s="49" t="str">
        <f aca="false">IFERROR(INDEX(Jobs!$E:$E,MATCH($B53,Jobs!$A:$A,0)),"")</f>
        <v/>
      </c>
      <c r="D53" s="41"/>
      <c r="E53" s="13"/>
      <c r="F53" s="41"/>
      <c r="G53" s="42"/>
    </row>
    <row r="54" customFormat="false" ht="15" hidden="false" customHeight="false" outlineLevel="0" collapsed="false">
      <c r="A54" s="42"/>
      <c r="B54" s="41"/>
      <c r="C54" s="49" t="str">
        <f aca="false">IFERROR(INDEX(Jobs!$E:$E,MATCH($B54,Jobs!$A:$A,0)),"")</f>
        <v/>
      </c>
      <c r="D54" s="41"/>
      <c r="E54" s="13"/>
      <c r="F54" s="41"/>
      <c r="G54" s="42"/>
    </row>
    <row r="55" customFormat="false" ht="15" hidden="false" customHeight="false" outlineLevel="0" collapsed="false">
      <c r="A55" s="42"/>
      <c r="B55" s="41"/>
      <c r="C55" s="49" t="str">
        <f aca="false">IFERROR(INDEX(Jobs!$E:$E,MATCH($B55,Jobs!$A:$A,0)),"")</f>
        <v/>
      </c>
      <c r="D55" s="41"/>
      <c r="E55" s="13"/>
      <c r="F55" s="41"/>
      <c r="G55" s="42"/>
    </row>
    <row r="56" customFormat="false" ht="15" hidden="false" customHeight="false" outlineLevel="0" collapsed="false">
      <c r="A56" s="42"/>
      <c r="B56" s="41"/>
      <c r="C56" s="49" t="str">
        <f aca="false">IFERROR(INDEX(Jobs!$E:$E,MATCH($B56,Jobs!$A:$A,0)),"")</f>
        <v/>
      </c>
      <c r="D56" s="41"/>
      <c r="E56" s="13"/>
      <c r="F56" s="41"/>
      <c r="G56" s="42"/>
    </row>
    <row r="57" customFormat="false" ht="15" hidden="false" customHeight="false" outlineLevel="0" collapsed="false">
      <c r="A57" s="42"/>
      <c r="B57" s="41"/>
      <c r="C57" s="49" t="str">
        <f aca="false">IFERROR(INDEX(Jobs!$E:$E,MATCH($B57,Jobs!$A:$A,0)),"")</f>
        <v/>
      </c>
      <c r="D57" s="41"/>
      <c r="E57" s="13"/>
      <c r="F57" s="41"/>
      <c r="G57" s="42"/>
    </row>
    <row r="58" customFormat="false" ht="15" hidden="false" customHeight="false" outlineLevel="0" collapsed="false">
      <c r="A58" s="42"/>
      <c r="B58" s="41"/>
      <c r="C58" s="49" t="str">
        <f aca="false">IFERROR(INDEX(Jobs!$E:$E,MATCH($B58,Jobs!$A:$A,0)),"")</f>
        <v/>
      </c>
      <c r="D58" s="41"/>
      <c r="E58" s="13"/>
      <c r="F58" s="41"/>
      <c r="G58" s="42"/>
    </row>
    <row r="59" customFormat="false" ht="15" hidden="false" customHeight="false" outlineLevel="0" collapsed="false">
      <c r="A59" s="42"/>
      <c r="B59" s="41"/>
      <c r="C59" s="49" t="str">
        <f aca="false">IFERROR(INDEX(Jobs!$E:$E,MATCH($B59,Jobs!$A:$A,0)),"")</f>
        <v/>
      </c>
      <c r="D59" s="41"/>
      <c r="E59" s="13"/>
      <c r="F59" s="41"/>
      <c r="G59" s="42"/>
    </row>
    <row r="60" customFormat="false" ht="15" hidden="false" customHeight="false" outlineLevel="0" collapsed="false">
      <c r="A60" s="42"/>
      <c r="B60" s="41"/>
      <c r="C60" s="49" t="str">
        <f aca="false">IFERROR(INDEX(Jobs!$E:$E,MATCH($B60,Jobs!$A:$A,0)),"")</f>
        <v/>
      </c>
      <c r="D60" s="41"/>
      <c r="E60" s="13"/>
      <c r="F60" s="41"/>
      <c r="G60" s="42"/>
    </row>
    <row r="61" customFormat="false" ht="15" hidden="false" customHeight="false" outlineLevel="0" collapsed="false">
      <c r="A61" s="42"/>
      <c r="B61" s="41"/>
      <c r="C61" s="49" t="str">
        <f aca="false">IFERROR(INDEX(Jobs!$E:$E,MATCH($B61,Jobs!$A:$A,0)),"")</f>
        <v/>
      </c>
      <c r="D61" s="41"/>
      <c r="E61" s="13"/>
      <c r="F61" s="41"/>
      <c r="G61" s="42"/>
    </row>
    <row r="62" customFormat="false" ht="15" hidden="false" customHeight="false" outlineLevel="0" collapsed="false">
      <c r="A62" s="42"/>
      <c r="B62" s="41"/>
      <c r="C62" s="49" t="str">
        <f aca="false">IFERROR(INDEX(Jobs!$E:$E,MATCH($B62,Jobs!$A:$A,0)),"")</f>
        <v/>
      </c>
      <c r="D62" s="41"/>
      <c r="E62" s="13"/>
      <c r="F62" s="41"/>
      <c r="G62" s="42"/>
    </row>
    <row r="63" customFormat="false" ht="15" hidden="false" customHeight="false" outlineLevel="0" collapsed="false">
      <c r="A63" s="42"/>
      <c r="B63" s="41"/>
      <c r="C63" s="49" t="str">
        <f aca="false">IFERROR(INDEX(Jobs!$E:$E,MATCH($B63,Jobs!$A:$A,0)),"")</f>
        <v/>
      </c>
      <c r="D63" s="41"/>
      <c r="E63" s="13"/>
      <c r="F63" s="41"/>
      <c r="G63" s="42"/>
    </row>
    <row r="64" customFormat="false" ht="15" hidden="false" customHeight="false" outlineLevel="0" collapsed="false">
      <c r="A64" s="42"/>
      <c r="B64" s="41"/>
      <c r="C64" s="49" t="str">
        <f aca="false">IFERROR(INDEX(Jobs!$E:$E,MATCH($B64,Jobs!$A:$A,0)),"")</f>
        <v/>
      </c>
      <c r="D64" s="41"/>
      <c r="E64" s="13"/>
      <c r="F64" s="41"/>
      <c r="G64" s="42"/>
    </row>
    <row r="65" customFormat="false" ht="15" hidden="false" customHeight="false" outlineLevel="0" collapsed="false">
      <c r="A65" s="42"/>
      <c r="B65" s="41"/>
      <c r="C65" s="49" t="str">
        <f aca="false">IFERROR(INDEX(Jobs!$E:$E,MATCH($B65,Jobs!$A:$A,0)),"")</f>
        <v/>
      </c>
      <c r="D65" s="41"/>
      <c r="E65" s="13"/>
      <c r="F65" s="41"/>
      <c r="G65" s="42"/>
    </row>
    <row r="66" customFormat="false" ht="15" hidden="false" customHeight="false" outlineLevel="0" collapsed="false">
      <c r="A66" s="42"/>
      <c r="B66" s="41"/>
      <c r="C66" s="49" t="str">
        <f aca="false">IFERROR(INDEX(Jobs!$E:$E,MATCH($B66,Jobs!$A:$A,0)),"")</f>
        <v/>
      </c>
      <c r="D66" s="41"/>
      <c r="E66" s="13"/>
      <c r="F66" s="41"/>
      <c r="G66" s="42"/>
    </row>
    <row r="67" customFormat="false" ht="15" hidden="false" customHeight="false" outlineLevel="0" collapsed="false">
      <c r="A67" s="42"/>
      <c r="B67" s="41"/>
      <c r="C67" s="49" t="str">
        <f aca="false">IFERROR(INDEX(Jobs!$E:$E,MATCH($B67,Jobs!$A:$A,0)),"")</f>
        <v/>
      </c>
      <c r="D67" s="41"/>
      <c r="E67" s="13"/>
      <c r="F67" s="41"/>
      <c r="G67" s="42"/>
    </row>
    <row r="68" customFormat="false" ht="15" hidden="false" customHeight="false" outlineLevel="0" collapsed="false">
      <c r="A68" s="42"/>
      <c r="B68" s="41"/>
      <c r="C68" s="49" t="str">
        <f aca="false">IFERROR(INDEX(Jobs!$E:$E,MATCH($B68,Jobs!$A:$A,0)),"")</f>
        <v/>
      </c>
      <c r="D68" s="41"/>
      <c r="E68" s="13"/>
      <c r="F68" s="41"/>
      <c r="G68" s="42"/>
    </row>
    <row r="69" customFormat="false" ht="15" hidden="false" customHeight="false" outlineLevel="0" collapsed="false">
      <c r="A69" s="42"/>
      <c r="B69" s="41"/>
      <c r="C69" s="49" t="str">
        <f aca="false">IFERROR(INDEX(Jobs!$E:$E,MATCH($B69,Jobs!$A:$A,0)),"")</f>
        <v/>
      </c>
      <c r="D69" s="41"/>
      <c r="E69" s="13"/>
      <c r="F69" s="41"/>
      <c r="G69" s="42"/>
    </row>
    <row r="70" customFormat="false" ht="15" hidden="false" customHeight="false" outlineLevel="0" collapsed="false">
      <c r="A70" s="42"/>
      <c r="B70" s="41"/>
      <c r="C70" s="49" t="str">
        <f aca="false">IFERROR(INDEX(Jobs!$E:$E,MATCH($B70,Jobs!$A:$A,0)),"")</f>
        <v/>
      </c>
      <c r="D70" s="41"/>
      <c r="E70" s="13"/>
      <c r="F70" s="41"/>
      <c r="G70" s="42"/>
    </row>
    <row r="71" customFormat="false" ht="15" hidden="false" customHeight="false" outlineLevel="0" collapsed="false">
      <c r="A71" s="42"/>
      <c r="B71" s="41"/>
      <c r="C71" s="49" t="str">
        <f aca="false">IFERROR(INDEX(Jobs!$E:$E,MATCH($B71,Jobs!$A:$A,0)),"")</f>
        <v/>
      </c>
      <c r="D71" s="41"/>
      <c r="E71" s="13"/>
      <c r="F71" s="41"/>
      <c r="G71" s="42"/>
    </row>
    <row r="72" customFormat="false" ht="15" hidden="false" customHeight="false" outlineLevel="0" collapsed="false">
      <c r="A72" s="42"/>
      <c r="B72" s="41"/>
      <c r="C72" s="49" t="str">
        <f aca="false">IFERROR(INDEX(Jobs!$E:$E,MATCH($B72,Jobs!$A:$A,0)),"")</f>
        <v/>
      </c>
      <c r="D72" s="41"/>
      <c r="E72" s="13"/>
      <c r="F72" s="41"/>
      <c r="G72" s="42"/>
    </row>
    <row r="73" customFormat="false" ht="15" hidden="false" customHeight="false" outlineLevel="0" collapsed="false">
      <c r="A73" s="42"/>
      <c r="B73" s="41"/>
      <c r="C73" s="49" t="str">
        <f aca="false">IFERROR(INDEX(Jobs!$E:$E,MATCH($B73,Jobs!$A:$A,0)),"")</f>
        <v/>
      </c>
      <c r="D73" s="41"/>
      <c r="E73" s="13"/>
      <c r="F73" s="41"/>
      <c r="G73" s="42"/>
    </row>
    <row r="74" customFormat="false" ht="15" hidden="false" customHeight="false" outlineLevel="0" collapsed="false">
      <c r="A74" s="42"/>
      <c r="B74" s="41"/>
      <c r="C74" s="49" t="str">
        <f aca="false">IFERROR(INDEX(Jobs!$E:$E,MATCH($B74,Jobs!$A:$A,0)),"")</f>
        <v/>
      </c>
      <c r="D74" s="41"/>
      <c r="E74" s="13"/>
      <c r="F74" s="41"/>
      <c r="G74" s="42"/>
    </row>
    <row r="75" customFormat="false" ht="15" hidden="false" customHeight="false" outlineLevel="0" collapsed="false">
      <c r="A75" s="42"/>
      <c r="B75" s="41"/>
      <c r="C75" s="49" t="str">
        <f aca="false">IFERROR(INDEX(Jobs!$E:$E,MATCH($B75,Jobs!$A:$A,0)),"")</f>
        <v/>
      </c>
      <c r="D75" s="41"/>
      <c r="E75" s="13"/>
      <c r="F75" s="41"/>
      <c r="G75" s="42"/>
    </row>
    <row r="76" customFormat="false" ht="15" hidden="false" customHeight="false" outlineLevel="0" collapsed="false">
      <c r="A76" s="42"/>
      <c r="B76" s="41"/>
      <c r="C76" s="49" t="str">
        <f aca="false">IFERROR(INDEX(Jobs!$E:$E,MATCH($B76,Jobs!$A:$A,0)),"")</f>
        <v/>
      </c>
      <c r="D76" s="41"/>
      <c r="E76" s="13"/>
      <c r="F76" s="41"/>
      <c r="G76" s="42"/>
    </row>
    <row r="77" customFormat="false" ht="15" hidden="false" customHeight="false" outlineLevel="0" collapsed="false">
      <c r="A77" s="42"/>
      <c r="B77" s="41"/>
      <c r="C77" s="49" t="str">
        <f aca="false">IFERROR(INDEX(Jobs!$E:$E,MATCH($B77,Jobs!$A:$A,0)),"")</f>
        <v/>
      </c>
      <c r="D77" s="41"/>
      <c r="E77" s="13"/>
      <c r="F77" s="41"/>
      <c r="G77" s="42"/>
    </row>
    <row r="78" customFormat="false" ht="15" hidden="false" customHeight="false" outlineLevel="0" collapsed="false">
      <c r="A78" s="42"/>
      <c r="B78" s="41"/>
      <c r="C78" s="49" t="str">
        <f aca="false">IFERROR(INDEX(Jobs!$E:$E,MATCH($B78,Jobs!$A:$A,0)),"")</f>
        <v/>
      </c>
      <c r="D78" s="41"/>
      <c r="E78" s="13"/>
      <c r="F78" s="41"/>
      <c r="G78" s="42"/>
    </row>
    <row r="79" customFormat="false" ht="15" hidden="false" customHeight="false" outlineLevel="0" collapsed="false">
      <c r="A79" s="42"/>
      <c r="B79" s="41"/>
      <c r="C79" s="49" t="str">
        <f aca="false">IFERROR(INDEX(Jobs!$E:$E,MATCH($B79,Jobs!$A:$A,0)),"")</f>
        <v/>
      </c>
      <c r="D79" s="41"/>
      <c r="E79" s="13"/>
      <c r="F79" s="41"/>
      <c r="G79" s="42"/>
    </row>
    <row r="80" customFormat="false" ht="15" hidden="false" customHeight="false" outlineLevel="0" collapsed="false">
      <c r="A80" s="42"/>
      <c r="B80" s="41"/>
      <c r="C80" s="49" t="str">
        <f aca="false">IFERROR(INDEX(Jobs!$E:$E,MATCH($B80,Jobs!$A:$A,0)),"")</f>
        <v/>
      </c>
      <c r="D80" s="41"/>
      <c r="E80" s="13"/>
      <c r="F80" s="41"/>
      <c r="G80" s="42"/>
    </row>
    <row r="81" customFormat="false" ht="15" hidden="false" customHeight="false" outlineLevel="0" collapsed="false">
      <c r="A81" s="42"/>
      <c r="B81" s="41"/>
      <c r="C81" s="49" t="str">
        <f aca="false">IFERROR(INDEX(Jobs!$E:$E,MATCH($B81,Jobs!$A:$A,0)),"")</f>
        <v/>
      </c>
      <c r="D81" s="41"/>
      <c r="E81" s="13"/>
      <c r="F81" s="41"/>
      <c r="G81" s="42"/>
    </row>
    <row r="82" customFormat="false" ht="15" hidden="false" customHeight="false" outlineLevel="0" collapsed="false">
      <c r="A82" s="42"/>
      <c r="B82" s="41"/>
      <c r="C82" s="49" t="str">
        <f aca="false">IFERROR(INDEX(Jobs!$E:$E,MATCH($B82,Jobs!$A:$A,0)),"")</f>
        <v/>
      </c>
      <c r="D82" s="41"/>
      <c r="E82" s="13"/>
      <c r="F82" s="41"/>
      <c r="G82" s="42"/>
    </row>
    <row r="83" customFormat="false" ht="15" hidden="false" customHeight="false" outlineLevel="0" collapsed="false">
      <c r="A83" s="42"/>
      <c r="B83" s="41"/>
      <c r="C83" s="49" t="str">
        <f aca="false">IFERROR(INDEX(Jobs!$E:$E,MATCH($B83,Jobs!$A:$A,0)),"")</f>
        <v/>
      </c>
      <c r="D83" s="41"/>
      <c r="E83" s="13"/>
      <c r="F83" s="41"/>
      <c r="G83" s="42"/>
    </row>
    <row r="84" customFormat="false" ht="15" hidden="false" customHeight="false" outlineLevel="0" collapsed="false">
      <c r="A84" s="42"/>
      <c r="B84" s="41"/>
      <c r="C84" s="49" t="str">
        <f aca="false">IFERROR(INDEX(Jobs!$E:$E,MATCH($B84,Jobs!$A:$A,0)),"")</f>
        <v/>
      </c>
      <c r="D84" s="41"/>
      <c r="E84" s="13"/>
      <c r="F84" s="41"/>
      <c r="G84" s="42"/>
    </row>
    <row r="85" customFormat="false" ht="15" hidden="false" customHeight="false" outlineLevel="0" collapsed="false">
      <c r="A85" s="42"/>
      <c r="B85" s="41"/>
      <c r="C85" s="49" t="str">
        <f aca="false">IFERROR(INDEX(Jobs!$E:$E,MATCH($B85,Jobs!$A:$A,0)),"")</f>
        <v/>
      </c>
      <c r="D85" s="41"/>
      <c r="E85" s="13"/>
      <c r="F85" s="41"/>
      <c r="G85" s="42"/>
    </row>
    <row r="86" customFormat="false" ht="15" hidden="false" customHeight="false" outlineLevel="0" collapsed="false">
      <c r="A86" s="42"/>
      <c r="B86" s="41"/>
      <c r="C86" s="49" t="str">
        <f aca="false">IFERROR(INDEX(Jobs!$E:$E,MATCH($B86,Jobs!$A:$A,0)),"")</f>
        <v/>
      </c>
      <c r="D86" s="41"/>
      <c r="E86" s="13"/>
      <c r="F86" s="41"/>
      <c r="G86" s="42"/>
    </row>
    <row r="87" customFormat="false" ht="15" hidden="false" customHeight="false" outlineLevel="0" collapsed="false">
      <c r="A87" s="42"/>
      <c r="B87" s="41"/>
      <c r="C87" s="49" t="str">
        <f aca="false">IFERROR(INDEX(Jobs!$E:$E,MATCH($B87,Jobs!$A:$A,0)),"")</f>
        <v/>
      </c>
      <c r="D87" s="41"/>
      <c r="E87" s="13"/>
      <c r="F87" s="41"/>
      <c r="G87" s="42"/>
    </row>
    <row r="88" customFormat="false" ht="15" hidden="false" customHeight="false" outlineLevel="0" collapsed="false">
      <c r="A88" s="42"/>
      <c r="B88" s="41"/>
      <c r="C88" s="49" t="str">
        <f aca="false">IFERROR(INDEX(Jobs!$E:$E,MATCH($B88,Jobs!$A:$A,0)),"")</f>
        <v/>
      </c>
      <c r="D88" s="41"/>
      <c r="E88" s="13"/>
      <c r="F88" s="41"/>
      <c r="G88" s="42"/>
    </row>
    <row r="89" customFormat="false" ht="15" hidden="false" customHeight="false" outlineLevel="0" collapsed="false">
      <c r="A89" s="42"/>
      <c r="B89" s="41"/>
      <c r="C89" s="49" t="str">
        <f aca="false">IFERROR(INDEX(Jobs!$E:$E,MATCH($B89,Jobs!$A:$A,0)),"")</f>
        <v/>
      </c>
      <c r="D89" s="41"/>
      <c r="E89" s="13"/>
      <c r="F89" s="41"/>
      <c r="G89" s="42"/>
    </row>
    <row r="90" customFormat="false" ht="15" hidden="false" customHeight="false" outlineLevel="0" collapsed="false">
      <c r="A90" s="42"/>
      <c r="B90" s="41"/>
      <c r="C90" s="49" t="str">
        <f aca="false">IFERROR(INDEX(Jobs!$E:$E,MATCH($B90,Jobs!$A:$A,0)),"")</f>
        <v/>
      </c>
      <c r="D90" s="41"/>
      <c r="E90" s="13"/>
      <c r="F90" s="41"/>
      <c r="G90" s="42"/>
    </row>
    <row r="91" customFormat="false" ht="15" hidden="false" customHeight="false" outlineLevel="0" collapsed="false">
      <c r="A91" s="42"/>
      <c r="B91" s="41"/>
      <c r="C91" s="49" t="str">
        <f aca="false">IFERROR(INDEX(Jobs!$E:$E,MATCH($B91,Jobs!$A:$A,0)),"")</f>
        <v/>
      </c>
      <c r="D91" s="41"/>
      <c r="E91" s="13"/>
      <c r="F91" s="41"/>
      <c r="G91" s="42"/>
    </row>
    <row r="92" customFormat="false" ht="15" hidden="false" customHeight="false" outlineLevel="0" collapsed="false">
      <c r="A92" s="42"/>
      <c r="B92" s="41"/>
      <c r="C92" s="49" t="str">
        <f aca="false">IFERROR(INDEX(Jobs!$E:$E,MATCH($B92,Jobs!$A:$A,0)),"")</f>
        <v/>
      </c>
      <c r="D92" s="41"/>
      <c r="E92" s="13"/>
      <c r="F92" s="41"/>
      <c r="G92" s="42"/>
    </row>
    <row r="93" customFormat="false" ht="15" hidden="false" customHeight="false" outlineLevel="0" collapsed="false">
      <c r="A93" s="42"/>
      <c r="B93" s="41"/>
      <c r="C93" s="49" t="str">
        <f aca="false">IFERROR(INDEX(Jobs!$E:$E,MATCH($B93,Jobs!$A:$A,0)),"")</f>
        <v/>
      </c>
      <c r="D93" s="41"/>
      <c r="E93" s="13"/>
      <c r="F93" s="41"/>
      <c r="G93" s="42"/>
    </row>
    <row r="94" customFormat="false" ht="15" hidden="false" customHeight="false" outlineLevel="0" collapsed="false">
      <c r="A94" s="42"/>
      <c r="B94" s="41"/>
      <c r="C94" s="49" t="str">
        <f aca="false">IFERROR(INDEX(Jobs!$E:$E,MATCH($B94,Jobs!$A:$A,0)),"")</f>
        <v/>
      </c>
      <c r="D94" s="41"/>
      <c r="E94" s="13"/>
      <c r="F94" s="41"/>
      <c r="G94" s="42"/>
    </row>
    <row r="95" customFormat="false" ht="15" hidden="false" customHeight="false" outlineLevel="0" collapsed="false">
      <c r="A95" s="42"/>
      <c r="B95" s="41"/>
      <c r="C95" s="49" t="str">
        <f aca="false">IFERROR(INDEX(Jobs!$E:$E,MATCH($B95,Jobs!$A:$A,0)),"")</f>
        <v/>
      </c>
      <c r="D95" s="41"/>
      <c r="E95" s="13"/>
      <c r="F95" s="41"/>
      <c r="G95" s="42"/>
    </row>
    <row r="96" customFormat="false" ht="15" hidden="false" customHeight="false" outlineLevel="0" collapsed="false">
      <c r="A96" s="42"/>
      <c r="B96" s="41"/>
      <c r="C96" s="49" t="str">
        <f aca="false">IFERROR(INDEX(Jobs!$E:$E,MATCH($B96,Jobs!$A:$A,0)),"")</f>
        <v/>
      </c>
      <c r="D96" s="41"/>
      <c r="E96" s="13"/>
      <c r="F96" s="41"/>
      <c r="G96" s="42"/>
    </row>
    <row r="97" customFormat="false" ht="15" hidden="false" customHeight="false" outlineLevel="0" collapsed="false">
      <c r="A97" s="42"/>
      <c r="B97" s="41"/>
      <c r="C97" s="49" t="str">
        <f aca="false">IFERROR(INDEX(Jobs!$E:$E,MATCH($B97,Jobs!$A:$A,0)),"")</f>
        <v/>
      </c>
      <c r="D97" s="41"/>
      <c r="E97" s="13"/>
      <c r="F97" s="41"/>
      <c r="G97" s="42"/>
    </row>
    <row r="98" customFormat="false" ht="15" hidden="false" customHeight="false" outlineLevel="0" collapsed="false">
      <c r="A98" s="42"/>
      <c r="B98" s="41"/>
      <c r="C98" s="49" t="str">
        <f aca="false">IFERROR(INDEX(Jobs!$E:$E,MATCH($B98,Jobs!$A:$A,0)),"")</f>
        <v/>
      </c>
      <c r="D98" s="41"/>
      <c r="E98" s="13"/>
      <c r="F98" s="41"/>
      <c r="G98" s="42"/>
    </row>
    <row r="99" customFormat="false" ht="15" hidden="false" customHeight="false" outlineLevel="0" collapsed="false">
      <c r="A99" s="42"/>
      <c r="B99" s="41"/>
      <c r="C99" s="49" t="str">
        <f aca="false">IFERROR(INDEX(Jobs!$E:$E,MATCH($B99,Jobs!$A:$A,0)),"")</f>
        <v/>
      </c>
      <c r="D99" s="41"/>
      <c r="E99" s="13"/>
      <c r="F99" s="41"/>
      <c r="G99" s="42"/>
    </row>
    <row r="100" customFormat="false" ht="15" hidden="false" customHeight="false" outlineLevel="0" collapsed="false">
      <c r="A100" s="42"/>
      <c r="B100" s="41"/>
      <c r="C100" s="49" t="str">
        <f aca="false">IFERROR(INDEX(Jobs!$E:$E,MATCH($B100,Jobs!$A:$A,0)),"")</f>
        <v/>
      </c>
      <c r="D100" s="41"/>
      <c r="E100" s="13"/>
      <c r="F100" s="41"/>
      <c r="G100" s="42"/>
    </row>
    <row r="101" customFormat="false" ht="15" hidden="false" customHeight="false" outlineLevel="0" collapsed="false">
      <c r="A101" s="42"/>
      <c r="B101" s="41"/>
      <c r="C101" s="49" t="str">
        <f aca="false">IFERROR(INDEX(Jobs!$E:$E,MATCH($B101,Jobs!$A:$A,0)),"")</f>
        <v/>
      </c>
      <c r="D101" s="41"/>
      <c r="E101" s="13"/>
      <c r="F101" s="41"/>
      <c r="G101" s="42"/>
    </row>
    <row r="102" customFormat="false" ht="15" hidden="false" customHeight="false" outlineLevel="0" collapsed="false">
      <c r="A102" s="42"/>
      <c r="B102" s="41"/>
      <c r="C102" s="49" t="str">
        <f aca="false">IFERROR(INDEX(Jobs!$E:$E,MATCH($B102,Jobs!$A:$A,0)),"")</f>
        <v/>
      </c>
      <c r="D102" s="41"/>
      <c r="E102" s="13"/>
      <c r="F102" s="41"/>
      <c r="G102" s="42"/>
    </row>
    <row r="103" customFormat="false" ht="15" hidden="false" customHeight="false" outlineLevel="0" collapsed="false">
      <c r="A103" s="42"/>
      <c r="B103" s="41"/>
      <c r="C103" s="49" t="str">
        <f aca="false">IFERROR(INDEX(Jobs!$E:$E,MATCH($B103,Jobs!$A:$A,0)),"")</f>
        <v/>
      </c>
      <c r="D103" s="41"/>
      <c r="E103" s="13"/>
      <c r="F103" s="41"/>
      <c r="G103" s="42"/>
    </row>
    <row r="104" customFormat="false" ht="15" hidden="false" customHeight="false" outlineLevel="0" collapsed="false">
      <c r="A104" s="42"/>
      <c r="B104" s="41"/>
      <c r="C104" s="49" t="str">
        <f aca="false">IFERROR(INDEX(Jobs!$E:$E,MATCH($B104,Jobs!$A:$A,0)),"")</f>
        <v/>
      </c>
      <c r="D104" s="41"/>
      <c r="E104" s="13"/>
      <c r="F104" s="41"/>
      <c r="G104" s="42"/>
    </row>
    <row r="105" customFormat="false" ht="15" hidden="false" customHeight="false" outlineLevel="0" collapsed="false">
      <c r="A105" s="42"/>
      <c r="B105" s="41"/>
      <c r="C105" s="49" t="str">
        <f aca="false">IFERROR(INDEX(Jobs!$E:$E,MATCH($B105,Jobs!$A:$A,0)),"")</f>
        <v/>
      </c>
      <c r="D105" s="41"/>
      <c r="E105" s="13"/>
      <c r="F105" s="41"/>
      <c r="G105" s="42"/>
    </row>
    <row r="106" customFormat="false" ht="15" hidden="false" customHeight="false" outlineLevel="0" collapsed="false">
      <c r="A106" s="42"/>
      <c r="B106" s="41"/>
      <c r="C106" s="49" t="str">
        <f aca="false">IFERROR(INDEX(Jobs!$E:$E,MATCH($B106,Jobs!$A:$A,0)),"")</f>
        <v/>
      </c>
      <c r="D106" s="41"/>
      <c r="E106" s="13"/>
      <c r="F106" s="41"/>
      <c r="G106" s="42"/>
    </row>
    <row r="107" customFormat="false" ht="15" hidden="false" customHeight="false" outlineLevel="0" collapsed="false">
      <c r="A107" s="42"/>
      <c r="B107" s="41"/>
      <c r="C107" s="49" t="str">
        <f aca="false">IFERROR(INDEX(Jobs!$E:$E,MATCH($B107,Jobs!$A:$A,0)),"")</f>
        <v/>
      </c>
      <c r="D107" s="41"/>
      <c r="E107" s="13"/>
      <c r="F107" s="41"/>
      <c r="G107" s="42"/>
    </row>
    <row r="108" customFormat="false" ht="15" hidden="false" customHeight="false" outlineLevel="0" collapsed="false">
      <c r="A108" s="42"/>
      <c r="B108" s="41"/>
      <c r="C108" s="49" t="str">
        <f aca="false">IFERROR(INDEX(Jobs!$E:$E,MATCH($B108,Jobs!$A:$A,0)),"")</f>
        <v/>
      </c>
      <c r="D108" s="41"/>
      <c r="E108" s="13"/>
      <c r="F108" s="41"/>
      <c r="G108" s="42"/>
    </row>
    <row r="109" customFormat="false" ht="15" hidden="false" customHeight="false" outlineLevel="0" collapsed="false">
      <c r="A109" s="42"/>
      <c r="B109" s="41"/>
      <c r="C109" s="49" t="str">
        <f aca="false">IFERROR(INDEX(Jobs!$E:$E,MATCH($B109,Jobs!$A:$A,0)),"")</f>
        <v/>
      </c>
      <c r="D109" s="41"/>
      <c r="E109" s="13"/>
      <c r="F109" s="41"/>
      <c r="G109" s="42"/>
    </row>
    <row r="110" customFormat="false" ht="15" hidden="false" customHeight="false" outlineLevel="0" collapsed="false">
      <c r="A110" s="42"/>
      <c r="B110" s="41"/>
      <c r="C110" s="49" t="str">
        <f aca="false">IFERROR(INDEX(Jobs!$E:$E,MATCH($B110,Jobs!$A:$A,0)),"")</f>
        <v/>
      </c>
      <c r="D110" s="41"/>
      <c r="E110" s="13"/>
      <c r="F110" s="41"/>
      <c r="G110" s="42"/>
    </row>
    <row r="111" customFormat="false" ht="15" hidden="false" customHeight="false" outlineLevel="0" collapsed="false">
      <c r="A111" s="42"/>
      <c r="B111" s="41"/>
      <c r="C111" s="49" t="str">
        <f aca="false">IFERROR(INDEX(Jobs!$E:$E,MATCH($B111,Jobs!$A:$A,0)),"")</f>
        <v/>
      </c>
      <c r="D111" s="41"/>
      <c r="E111" s="13"/>
      <c r="F111" s="41"/>
      <c r="G111" s="42"/>
    </row>
    <row r="112" customFormat="false" ht="15" hidden="false" customHeight="false" outlineLevel="0" collapsed="false">
      <c r="A112" s="42"/>
      <c r="B112" s="41"/>
      <c r="C112" s="49" t="str">
        <f aca="false">IFERROR(INDEX(Jobs!$E:$E,MATCH($B112,Jobs!$A:$A,0)),"")</f>
        <v/>
      </c>
      <c r="D112" s="41"/>
      <c r="E112" s="13"/>
      <c r="F112" s="41"/>
      <c r="G112" s="42"/>
    </row>
    <row r="113" customFormat="false" ht="15" hidden="false" customHeight="false" outlineLevel="0" collapsed="false">
      <c r="A113" s="42"/>
      <c r="B113" s="41"/>
      <c r="C113" s="49" t="str">
        <f aca="false">IFERROR(INDEX(Jobs!$E:$E,MATCH($B113,Jobs!$A:$A,0)),"")</f>
        <v/>
      </c>
      <c r="D113" s="41"/>
      <c r="E113" s="13"/>
      <c r="F113" s="41"/>
      <c r="G113" s="42"/>
    </row>
    <row r="114" customFormat="false" ht="15" hidden="false" customHeight="false" outlineLevel="0" collapsed="false">
      <c r="A114" s="42"/>
      <c r="B114" s="41"/>
      <c r="C114" s="49" t="str">
        <f aca="false">IFERROR(INDEX(Jobs!$E:$E,MATCH($B114,Jobs!$A:$A,0)),"")</f>
        <v/>
      </c>
      <c r="D114" s="41"/>
      <c r="E114" s="13"/>
      <c r="F114" s="41"/>
      <c r="G114" s="42"/>
    </row>
    <row r="115" customFormat="false" ht="15" hidden="false" customHeight="false" outlineLevel="0" collapsed="false">
      <c r="A115" s="42"/>
      <c r="B115" s="41"/>
      <c r="C115" s="49" t="str">
        <f aca="false">IFERROR(INDEX(Jobs!$E:$E,MATCH($B115,Jobs!$A:$A,0)),"")</f>
        <v/>
      </c>
      <c r="D115" s="41"/>
      <c r="E115" s="13"/>
      <c r="F115" s="41"/>
      <c r="G115" s="42"/>
    </row>
    <row r="116" customFormat="false" ht="15" hidden="false" customHeight="false" outlineLevel="0" collapsed="false">
      <c r="A116" s="42"/>
      <c r="B116" s="41"/>
      <c r="C116" s="49" t="str">
        <f aca="false">IFERROR(INDEX(Jobs!$E:$E,MATCH($B116,Jobs!$A:$A,0)),"")</f>
        <v/>
      </c>
      <c r="D116" s="41"/>
      <c r="E116" s="13"/>
      <c r="F116" s="41"/>
      <c r="G116" s="42"/>
    </row>
    <row r="117" customFormat="false" ht="15" hidden="false" customHeight="false" outlineLevel="0" collapsed="false">
      <c r="A117" s="42"/>
      <c r="B117" s="41"/>
      <c r="C117" s="49" t="str">
        <f aca="false">IFERROR(INDEX(Jobs!$E:$E,MATCH($B117,Jobs!$A:$A,0)),"")</f>
        <v/>
      </c>
      <c r="D117" s="41"/>
      <c r="E117" s="13"/>
      <c r="F117" s="41"/>
      <c r="G117" s="42"/>
    </row>
    <row r="118" customFormat="false" ht="15" hidden="false" customHeight="false" outlineLevel="0" collapsed="false">
      <c r="A118" s="42"/>
      <c r="B118" s="41"/>
      <c r="C118" s="49" t="str">
        <f aca="false">IFERROR(INDEX(Jobs!$E:$E,MATCH($B118,Jobs!$A:$A,0)),"")</f>
        <v/>
      </c>
      <c r="D118" s="41"/>
      <c r="E118" s="13"/>
      <c r="F118" s="41"/>
      <c r="G118" s="42"/>
    </row>
    <row r="119" customFormat="false" ht="15" hidden="false" customHeight="false" outlineLevel="0" collapsed="false">
      <c r="A119" s="42"/>
      <c r="B119" s="41"/>
      <c r="C119" s="49" t="str">
        <f aca="false">IFERROR(INDEX(Jobs!$E:$E,MATCH($B119,Jobs!$A:$A,0)),"")</f>
        <v/>
      </c>
      <c r="D119" s="41"/>
      <c r="E119" s="13"/>
      <c r="F119" s="41"/>
      <c r="G119" s="42"/>
    </row>
    <row r="120" customFormat="false" ht="15" hidden="false" customHeight="false" outlineLevel="0" collapsed="false">
      <c r="A120" s="42"/>
      <c r="B120" s="41"/>
      <c r="C120" s="49" t="str">
        <f aca="false">IFERROR(INDEX(Jobs!$E:$E,MATCH($B120,Jobs!$A:$A,0)),"")</f>
        <v/>
      </c>
      <c r="D120" s="41"/>
      <c r="E120" s="13"/>
      <c r="F120" s="41"/>
      <c r="G120" s="42"/>
    </row>
    <row r="121" customFormat="false" ht="15" hidden="false" customHeight="false" outlineLevel="0" collapsed="false">
      <c r="A121" s="42"/>
      <c r="B121" s="41"/>
      <c r="C121" s="49" t="str">
        <f aca="false">IFERROR(INDEX(Jobs!$E:$E,MATCH($B121,Jobs!$A:$A,0)),"")</f>
        <v/>
      </c>
      <c r="D121" s="41"/>
      <c r="E121" s="13"/>
      <c r="F121" s="41"/>
      <c r="G121" s="42"/>
    </row>
    <row r="122" customFormat="false" ht="15" hidden="false" customHeight="false" outlineLevel="0" collapsed="false">
      <c r="A122" s="42"/>
      <c r="B122" s="41"/>
      <c r="C122" s="49" t="str">
        <f aca="false">IFERROR(INDEX(Jobs!$E:$E,MATCH($B122,Jobs!$A:$A,0)),"")</f>
        <v/>
      </c>
      <c r="D122" s="41"/>
      <c r="E122" s="13"/>
      <c r="F122" s="41"/>
      <c r="G122" s="42"/>
    </row>
    <row r="123" customFormat="false" ht="15" hidden="false" customHeight="false" outlineLevel="0" collapsed="false">
      <c r="A123" s="42"/>
      <c r="B123" s="41"/>
      <c r="C123" s="49" t="str">
        <f aca="false">IFERROR(INDEX(Jobs!$E:$E,MATCH($B123,Jobs!$A:$A,0)),"")</f>
        <v/>
      </c>
      <c r="D123" s="41"/>
      <c r="E123" s="13"/>
      <c r="F123" s="41"/>
      <c r="G123" s="42"/>
    </row>
    <row r="124" customFormat="false" ht="15" hidden="false" customHeight="false" outlineLevel="0" collapsed="false">
      <c r="A124" s="42"/>
      <c r="B124" s="41"/>
      <c r="C124" s="49" t="str">
        <f aca="false">IFERROR(INDEX(Jobs!$E:$E,MATCH($B124,Jobs!$A:$A,0)),"")</f>
        <v/>
      </c>
      <c r="D124" s="41"/>
      <c r="E124" s="13"/>
      <c r="F124" s="41"/>
      <c r="G124" s="42"/>
    </row>
    <row r="125" customFormat="false" ht="15" hidden="false" customHeight="false" outlineLevel="0" collapsed="false">
      <c r="A125" s="42"/>
      <c r="B125" s="41"/>
      <c r="C125" s="49" t="str">
        <f aca="false">IFERROR(INDEX(Jobs!$E:$E,MATCH($B125,Jobs!$A:$A,0)),"")</f>
        <v/>
      </c>
      <c r="D125" s="41"/>
      <c r="E125" s="13"/>
      <c r="F125" s="41"/>
      <c r="G125" s="42"/>
    </row>
    <row r="126" customFormat="false" ht="15" hidden="false" customHeight="false" outlineLevel="0" collapsed="false">
      <c r="A126" s="42"/>
      <c r="B126" s="41"/>
      <c r="C126" s="49" t="str">
        <f aca="false">IFERROR(INDEX(Jobs!$E:$E,MATCH($B126,Jobs!$A:$A,0)),"")</f>
        <v/>
      </c>
      <c r="D126" s="41"/>
      <c r="E126" s="13"/>
      <c r="F126" s="41"/>
      <c r="G126" s="42"/>
    </row>
    <row r="127" customFormat="false" ht="15" hidden="false" customHeight="false" outlineLevel="0" collapsed="false">
      <c r="A127" s="42"/>
      <c r="B127" s="41"/>
      <c r="C127" s="49" t="str">
        <f aca="false">IFERROR(INDEX(Jobs!$E:$E,MATCH($B127,Jobs!$A:$A,0)),"")</f>
        <v/>
      </c>
      <c r="D127" s="41"/>
      <c r="E127" s="13"/>
      <c r="F127" s="41"/>
      <c r="G127" s="42"/>
    </row>
    <row r="128" customFormat="false" ht="15" hidden="false" customHeight="false" outlineLevel="0" collapsed="false">
      <c r="A128" s="42"/>
      <c r="B128" s="41"/>
      <c r="C128" s="49" t="str">
        <f aca="false">IFERROR(INDEX(Jobs!$E:$E,MATCH($B128,Jobs!$A:$A,0)),"")</f>
        <v/>
      </c>
      <c r="D128" s="41"/>
      <c r="E128" s="13"/>
      <c r="F128" s="41"/>
      <c r="G128" s="42"/>
    </row>
    <row r="129" customFormat="false" ht="15" hidden="false" customHeight="false" outlineLevel="0" collapsed="false">
      <c r="A129" s="42"/>
      <c r="B129" s="41"/>
      <c r="C129" s="49" t="str">
        <f aca="false">IFERROR(INDEX(Jobs!$E:$E,MATCH($B129,Jobs!$A:$A,0)),"")</f>
        <v/>
      </c>
      <c r="D129" s="41"/>
      <c r="E129" s="13"/>
      <c r="F129" s="41"/>
      <c r="G129" s="42"/>
    </row>
    <row r="130" customFormat="false" ht="15" hidden="false" customHeight="false" outlineLevel="0" collapsed="false">
      <c r="A130" s="42"/>
      <c r="B130" s="41"/>
      <c r="C130" s="49" t="str">
        <f aca="false">IFERROR(INDEX(Jobs!$E:$E,MATCH($B130,Jobs!$A:$A,0)),"")</f>
        <v/>
      </c>
      <c r="D130" s="41"/>
      <c r="E130" s="13"/>
      <c r="F130" s="41"/>
      <c r="G130" s="42"/>
    </row>
    <row r="131" customFormat="false" ht="15" hidden="false" customHeight="false" outlineLevel="0" collapsed="false">
      <c r="A131" s="42"/>
      <c r="B131" s="41"/>
      <c r="C131" s="49" t="str">
        <f aca="false">IFERROR(INDEX(Jobs!$E:$E,MATCH($B131,Jobs!$A:$A,0)),"")</f>
        <v/>
      </c>
      <c r="D131" s="41"/>
      <c r="E131" s="13"/>
      <c r="F131" s="41"/>
      <c r="G131" s="42"/>
    </row>
    <row r="132" customFormat="false" ht="15" hidden="false" customHeight="false" outlineLevel="0" collapsed="false">
      <c r="A132" s="42"/>
      <c r="B132" s="41"/>
      <c r="C132" s="49" t="str">
        <f aca="false">IFERROR(INDEX(Jobs!$E:$E,MATCH($B132,Jobs!$A:$A,0)),"")</f>
        <v/>
      </c>
      <c r="D132" s="41"/>
      <c r="E132" s="13"/>
      <c r="F132" s="41"/>
      <c r="G132" s="42"/>
    </row>
    <row r="133" customFormat="false" ht="15" hidden="false" customHeight="false" outlineLevel="0" collapsed="false">
      <c r="A133" s="42"/>
      <c r="B133" s="41"/>
      <c r="C133" s="49" t="str">
        <f aca="false">IFERROR(INDEX(Jobs!$E:$E,MATCH($B133,Jobs!$A:$A,0)),"")</f>
        <v/>
      </c>
      <c r="D133" s="41"/>
      <c r="E133" s="13"/>
      <c r="F133" s="41"/>
      <c r="G133" s="42"/>
    </row>
    <row r="134" customFormat="false" ht="15" hidden="false" customHeight="false" outlineLevel="0" collapsed="false">
      <c r="A134" s="42"/>
      <c r="B134" s="41"/>
      <c r="C134" s="49" t="str">
        <f aca="false">IFERROR(INDEX(Jobs!$E:$E,MATCH($B134,Jobs!$A:$A,0)),"")</f>
        <v/>
      </c>
      <c r="D134" s="41"/>
      <c r="E134" s="13"/>
      <c r="F134" s="41"/>
      <c r="G134" s="42"/>
    </row>
    <row r="135" customFormat="false" ht="15" hidden="false" customHeight="false" outlineLevel="0" collapsed="false">
      <c r="A135" s="42"/>
      <c r="B135" s="41"/>
      <c r="C135" s="49" t="str">
        <f aca="false">IFERROR(INDEX(Jobs!$E:$E,MATCH($B135,Jobs!$A:$A,0)),"")</f>
        <v/>
      </c>
      <c r="D135" s="41"/>
      <c r="E135" s="13"/>
      <c r="F135" s="41"/>
      <c r="G135" s="42"/>
    </row>
    <row r="136" customFormat="false" ht="15" hidden="false" customHeight="false" outlineLevel="0" collapsed="false">
      <c r="A136" s="42"/>
      <c r="B136" s="41"/>
      <c r="C136" s="49" t="str">
        <f aca="false">IFERROR(INDEX(Jobs!$E:$E,MATCH($B136,Jobs!$A:$A,0)),"")</f>
        <v/>
      </c>
      <c r="D136" s="41"/>
      <c r="E136" s="13"/>
      <c r="F136" s="41"/>
      <c r="G136" s="42"/>
    </row>
    <row r="137" customFormat="false" ht="15" hidden="false" customHeight="false" outlineLevel="0" collapsed="false">
      <c r="A137" s="42"/>
      <c r="B137" s="41"/>
      <c r="C137" s="49" t="str">
        <f aca="false">IFERROR(INDEX(Jobs!$E:$E,MATCH($B137,Jobs!$A:$A,0)),"")</f>
        <v/>
      </c>
      <c r="D137" s="41"/>
      <c r="E137" s="13"/>
      <c r="F137" s="41"/>
      <c r="G137" s="42"/>
    </row>
    <row r="138" customFormat="false" ht="15" hidden="false" customHeight="false" outlineLevel="0" collapsed="false">
      <c r="A138" s="42"/>
      <c r="B138" s="41"/>
      <c r="C138" s="49" t="str">
        <f aca="false">IFERROR(INDEX(Jobs!$E:$E,MATCH($B138,Jobs!$A:$A,0)),"")</f>
        <v/>
      </c>
      <c r="D138" s="41"/>
      <c r="E138" s="13"/>
      <c r="F138" s="41"/>
      <c r="G138" s="42"/>
    </row>
    <row r="139" customFormat="false" ht="15" hidden="false" customHeight="false" outlineLevel="0" collapsed="false">
      <c r="A139" s="42"/>
      <c r="B139" s="41"/>
      <c r="C139" s="49" t="str">
        <f aca="false">IFERROR(INDEX(Jobs!$E:$E,MATCH($B139,Jobs!$A:$A,0)),"")</f>
        <v/>
      </c>
      <c r="D139" s="41"/>
      <c r="E139" s="13"/>
      <c r="F139" s="41"/>
      <c r="G139" s="42"/>
    </row>
    <row r="140" customFormat="false" ht="15" hidden="false" customHeight="false" outlineLevel="0" collapsed="false">
      <c r="A140" s="42"/>
      <c r="B140" s="41"/>
      <c r="C140" s="49" t="str">
        <f aca="false">IFERROR(INDEX(Jobs!$E:$E,MATCH($B140,Jobs!$A:$A,0)),"")</f>
        <v/>
      </c>
      <c r="D140" s="41"/>
      <c r="E140" s="13"/>
      <c r="F140" s="41"/>
      <c r="G140" s="42"/>
    </row>
    <row r="141" customFormat="false" ht="15" hidden="false" customHeight="false" outlineLevel="0" collapsed="false">
      <c r="A141" s="42"/>
      <c r="B141" s="41"/>
      <c r="C141" s="49" t="str">
        <f aca="false">IFERROR(INDEX(Jobs!$E:$E,MATCH($B141,Jobs!$A:$A,0)),"")</f>
        <v/>
      </c>
      <c r="D141" s="41"/>
      <c r="E141" s="13"/>
      <c r="F141" s="41"/>
      <c r="G141" s="42"/>
    </row>
    <row r="142" customFormat="false" ht="15" hidden="false" customHeight="false" outlineLevel="0" collapsed="false">
      <c r="A142" s="42"/>
      <c r="B142" s="41"/>
      <c r="C142" s="49" t="str">
        <f aca="false">IFERROR(INDEX(Jobs!$E:$E,MATCH($B142,Jobs!$A:$A,0)),"")</f>
        <v/>
      </c>
      <c r="D142" s="41"/>
      <c r="E142" s="13"/>
      <c r="F142" s="41"/>
      <c r="G142" s="42"/>
    </row>
    <row r="143" customFormat="false" ht="15" hidden="false" customHeight="false" outlineLevel="0" collapsed="false">
      <c r="A143" s="42"/>
      <c r="B143" s="41"/>
      <c r="C143" s="49" t="str">
        <f aca="false">IFERROR(INDEX(Jobs!$E:$E,MATCH($B143,Jobs!$A:$A,0)),"")</f>
        <v/>
      </c>
      <c r="D143" s="41"/>
      <c r="E143" s="13"/>
      <c r="F143" s="41"/>
      <c r="G143" s="42"/>
    </row>
    <row r="144" customFormat="false" ht="15" hidden="false" customHeight="false" outlineLevel="0" collapsed="false">
      <c r="A144" s="42"/>
      <c r="B144" s="41"/>
      <c r="C144" s="49" t="str">
        <f aca="false">IFERROR(INDEX(Jobs!$E:$E,MATCH($B144,Jobs!$A:$A,0)),"")</f>
        <v/>
      </c>
      <c r="D144" s="41"/>
      <c r="E144" s="13"/>
      <c r="F144" s="41"/>
      <c r="G144" s="42"/>
    </row>
    <row r="145" customFormat="false" ht="15" hidden="false" customHeight="false" outlineLevel="0" collapsed="false">
      <c r="A145" s="42"/>
      <c r="B145" s="41"/>
      <c r="C145" s="49" t="str">
        <f aca="false">IFERROR(INDEX(Jobs!$E:$E,MATCH($B145,Jobs!$A:$A,0)),"")</f>
        <v/>
      </c>
      <c r="D145" s="41"/>
      <c r="E145" s="13"/>
      <c r="F145" s="41"/>
      <c r="G145" s="42"/>
    </row>
    <row r="146" customFormat="false" ht="15" hidden="false" customHeight="false" outlineLevel="0" collapsed="false">
      <c r="A146" s="42"/>
      <c r="B146" s="41"/>
      <c r="C146" s="49" t="str">
        <f aca="false">IFERROR(INDEX(Jobs!$E:$E,MATCH($B146,Jobs!$A:$A,0)),"")</f>
        <v/>
      </c>
      <c r="D146" s="41"/>
      <c r="E146" s="13"/>
      <c r="F146" s="41"/>
      <c r="G146" s="42"/>
    </row>
    <row r="147" customFormat="false" ht="15" hidden="false" customHeight="false" outlineLevel="0" collapsed="false">
      <c r="A147" s="42"/>
      <c r="B147" s="41"/>
      <c r="C147" s="49" t="str">
        <f aca="false">IFERROR(INDEX(Jobs!$E:$E,MATCH($B147,Jobs!$A:$A,0)),"")</f>
        <v/>
      </c>
      <c r="D147" s="41"/>
      <c r="E147" s="13"/>
      <c r="F147" s="41"/>
      <c r="G147" s="42"/>
    </row>
    <row r="148" customFormat="false" ht="15" hidden="false" customHeight="false" outlineLevel="0" collapsed="false">
      <c r="A148" s="42"/>
      <c r="B148" s="41"/>
      <c r="C148" s="49" t="str">
        <f aca="false">IFERROR(INDEX(Jobs!$E:$E,MATCH($B148,Jobs!$A:$A,0)),"")</f>
        <v/>
      </c>
      <c r="D148" s="41"/>
      <c r="E148" s="13"/>
      <c r="F148" s="41"/>
      <c r="G148" s="42"/>
    </row>
    <row r="149" customFormat="false" ht="15" hidden="false" customHeight="false" outlineLevel="0" collapsed="false">
      <c r="A149" s="42"/>
      <c r="B149" s="41"/>
      <c r="C149" s="49" t="str">
        <f aca="false">IFERROR(INDEX(Jobs!$E:$E,MATCH($B149,Jobs!$A:$A,0)),"")</f>
        <v/>
      </c>
      <c r="D149" s="41"/>
      <c r="E149" s="13"/>
      <c r="F149" s="41"/>
      <c r="G149" s="42"/>
    </row>
    <row r="150" customFormat="false" ht="15" hidden="false" customHeight="false" outlineLevel="0" collapsed="false">
      <c r="A150" s="42"/>
      <c r="B150" s="41"/>
      <c r="C150" s="49" t="str">
        <f aca="false">IFERROR(INDEX(Jobs!$E:$E,MATCH($B150,Jobs!$A:$A,0)),"")</f>
        <v/>
      </c>
      <c r="D150" s="41"/>
      <c r="E150" s="13"/>
      <c r="F150" s="41"/>
      <c r="G150" s="42"/>
    </row>
    <row r="151" customFormat="false" ht="15" hidden="false" customHeight="false" outlineLevel="0" collapsed="false">
      <c r="A151" s="42"/>
      <c r="B151" s="41"/>
      <c r="C151" s="49" t="str">
        <f aca="false">IFERROR(INDEX(Jobs!$E:$E,MATCH($B151,Jobs!$A:$A,0)),"")</f>
        <v/>
      </c>
      <c r="D151" s="41"/>
      <c r="E151" s="13"/>
      <c r="F151" s="41"/>
      <c r="G151" s="42"/>
    </row>
    <row r="152" customFormat="false" ht="15" hidden="false" customHeight="false" outlineLevel="0" collapsed="false">
      <c r="A152" s="42"/>
      <c r="B152" s="41"/>
      <c r="C152" s="49" t="str">
        <f aca="false">IFERROR(INDEX(Jobs!$E:$E,MATCH($B152,Jobs!$A:$A,0)),"")</f>
        <v/>
      </c>
      <c r="D152" s="41"/>
      <c r="E152" s="13"/>
      <c r="F152" s="41"/>
      <c r="G152" s="42"/>
    </row>
    <row r="153" customFormat="false" ht="15" hidden="false" customHeight="false" outlineLevel="0" collapsed="false">
      <c r="A153" s="42"/>
      <c r="B153" s="41"/>
      <c r="C153" s="49" t="str">
        <f aca="false">IFERROR(INDEX(Jobs!$E:$E,MATCH($B153,Jobs!$A:$A,0)),"")</f>
        <v/>
      </c>
      <c r="D153" s="41"/>
      <c r="E153" s="13"/>
      <c r="F153" s="41"/>
      <c r="G153" s="42"/>
    </row>
    <row r="154" customFormat="false" ht="15" hidden="false" customHeight="false" outlineLevel="0" collapsed="false">
      <c r="A154" s="42"/>
      <c r="B154" s="41"/>
      <c r="C154" s="49" t="str">
        <f aca="false">IFERROR(INDEX(Jobs!$E:$E,MATCH($B154,Jobs!$A:$A,0)),"")</f>
        <v/>
      </c>
      <c r="D154" s="41"/>
      <c r="E154" s="13"/>
      <c r="F154" s="41"/>
      <c r="G154" s="42"/>
    </row>
    <row r="155" customFormat="false" ht="15" hidden="false" customHeight="false" outlineLevel="0" collapsed="false">
      <c r="A155" s="42"/>
      <c r="B155" s="41"/>
      <c r="C155" s="49" t="str">
        <f aca="false">IFERROR(INDEX(Jobs!$E:$E,MATCH($B155,Jobs!$A:$A,0)),"")</f>
        <v/>
      </c>
      <c r="D155" s="41"/>
      <c r="E155" s="13"/>
      <c r="F155" s="41"/>
      <c r="G155" s="42"/>
    </row>
    <row r="156" customFormat="false" ht="15" hidden="false" customHeight="false" outlineLevel="0" collapsed="false">
      <c r="A156" s="42"/>
      <c r="B156" s="41"/>
      <c r="C156" s="49" t="str">
        <f aca="false">IFERROR(INDEX(Jobs!$E:$E,MATCH($B156,Jobs!$A:$A,0)),"")</f>
        <v/>
      </c>
      <c r="D156" s="41"/>
      <c r="E156" s="13"/>
      <c r="F156" s="41"/>
      <c r="G156" s="42"/>
    </row>
    <row r="157" customFormat="false" ht="15" hidden="false" customHeight="false" outlineLevel="0" collapsed="false">
      <c r="A157" s="42"/>
      <c r="B157" s="41"/>
      <c r="C157" s="49" t="str">
        <f aca="false">IFERROR(INDEX(Jobs!$E:$E,MATCH($B157,Jobs!$A:$A,0)),"")</f>
        <v/>
      </c>
      <c r="D157" s="41"/>
      <c r="E157" s="13"/>
      <c r="F157" s="41"/>
      <c r="G157" s="42"/>
    </row>
    <row r="158" customFormat="false" ht="15" hidden="false" customHeight="false" outlineLevel="0" collapsed="false">
      <c r="A158" s="42"/>
      <c r="B158" s="41"/>
      <c r="C158" s="49" t="str">
        <f aca="false">IFERROR(INDEX(Jobs!$E:$E,MATCH($B158,Jobs!$A:$A,0)),"")</f>
        <v/>
      </c>
      <c r="D158" s="41"/>
      <c r="E158" s="13"/>
      <c r="F158" s="41"/>
      <c r="G158" s="42"/>
    </row>
    <row r="159" customFormat="false" ht="15" hidden="false" customHeight="false" outlineLevel="0" collapsed="false">
      <c r="A159" s="42"/>
      <c r="B159" s="41"/>
      <c r="C159" s="49" t="str">
        <f aca="false">IFERROR(INDEX(Jobs!$E:$E,MATCH($B159,Jobs!$A:$A,0)),"")</f>
        <v/>
      </c>
      <c r="D159" s="41"/>
      <c r="E159" s="13"/>
      <c r="F159" s="41"/>
      <c r="G159" s="42"/>
    </row>
    <row r="160" customFormat="false" ht="15" hidden="false" customHeight="false" outlineLevel="0" collapsed="false">
      <c r="A160" s="42"/>
      <c r="B160" s="41"/>
      <c r="C160" s="49" t="str">
        <f aca="false">IFERROR(INDEX(Jobs!$E:$E,MATCH($B160,Jobs!$A:$A,0)),"")</f>
        <v/>
      </c>
      <c r="D160" s="41"/>
      <c r="E160" s="13"/>
      <c r="F160" s="41"/>
      <c r="G160" s="42"/>
    </row>
    <row r="161" customFormat="false" ht="15" hidden="false" customHeight="false" outlineLevel="0" collapsed="false">
      <c r="A161" s="42"/>
      <c r="B161" s="41"/>
      <c r="C161" s="49" t="str">
        <f aca="false">IFERROR(INDEX(Jobs!$E:$E,MATCH($B161,Jobs!$A:$A,0)),"")</f>
        <v/>
      </c>
      <c r="D161" s="41"/>
      <c r="E161" s="13"/>
      <c r="F161" s="41"/>
      <c r="G161" s="42"/>
    </row>
    <row r="162" customFormat="false" ht="15" hidden="false" customHeight="false" outlineLevel="0" collapsed="false">
      <c r="A162" s="42"/>
      <c r="B162" s="41"/>
      <c r="C162" s="49" t="str">
        <f aca="false">IFERROR(INDEX(Jobs!$E:$E,MATCH($B162,Jobs!$A:$A,0)),"")</f>
        <v/>
      </c>
      <c r="D162" s="41"/>
      <c r="E162" s="13"/>
      <c r="F162" s="41"/>
      <c r="G162" s="42"/>
    </row>
    <row r="163" customFormat="false" ht="15" hidden="false" customHeight="false" outlineLevel="0" collapsed="false">
      <c r="A163" s="42"/>
      <c r="B163" s="41"/>
      <c r="C163" s="49" t="str">
        <f aca="false">IFERROR(INDEX(Jobs!$E:$E,MATCH($B163,Jobs!$A:$A,0)),"")</f>
        <v/>
      </c>
      <c r="D163" s="41"/>
      <c r="E163" s="13"/>
      <c r="F163" s="41"/>
      <c r="G163" s="42"/>
    </row>
    <row r="164" customFormat="false" ht="15" hidden="false" customHeight="false" outlineLevel="0" collapsed="false">
      <c r="A164" s="42"/>
      <c r="B164" s="41"/>
      <c r="C164" s="49" t="str">
        <f aca="false">IFERROR(INDEX(Jobs!$E:$E,MATCH($B164,Jobs!$A:$A,0)),"")</f>
        <v/>
      </c>
      <c r="D164" s="41"/>
      <c r="E164" s="13"/>
      <c r="F164" s="41"/>
      <c r="G164" s="42"/>
    </row>
    <row r="165" customFormat="false" ht="15" hidden="false" customHeight="false" outlineLevel="0" collapsed="false">
      <c r="A165" s="42"/>
      <c r="B165" s="41"/>
      <c r="C165" s="49" t="str">
        <f aca="false">IFERROR(INDEX(Jobs!$E:$E,MATCH($B165,Jobs!$A:$A,0)),"")</f>
        <v/>
      </c>
      <c r="D165" s="41"/>
      <c r="E165" s="13"/>
      <c r="F165" s="41"/>
      <c r="G165" s="42"/>
    </row>
    <row r="166" customFormat="false" ht="15" hidden="false" customHeight="false" outlineLevel="0" collapsed="false">
      <c r="A166" s="42"/>
      <c r="B166" s="41"/>
      <c r="C166" s="49" t="str">
        <f aca="false">IFERROR(INDEX(Jobs!$E:$E,MATCH($B166,Jobs!$A:$A,0)),"")</f>
        <v/>
      </c>
      <c r="D166" s="41"/>
      <c r="E166" s="13"/>
      <c r="F166" s="41"/>
      <c r="G166" s="42"/>
    </row>
    <row r="167" customFormat="false" ht="15" hidden="false" customHeight="false" outlineLevel="0" collapsed="false">
      <c r="A167" s="42"/>
      <c r="B167" s="41"/>
      <c r="C167" s="49" t="str">
        <f aca="false">IFERROR(INDEX(Jobs!$E:$E,MATCH($B167,Jobs!$A:$A,0)),"")</f>
        <v/>
      </c>
      <c r="D167" s="41"/>
      <c r="E167" s="13"/>
      <c r="F167" s="41"/>
      <c r="G167" s="42"/>
    </row>
    <row r="168" customFormat="false" ht="15" hidden="false" customHeight="false" outlineLevel="0" collapsed="false">
      <c r="A168" s="42"/>
      <c r="B168" s="41"/>
      <c r="C168" s="49" t="str">
        <f aca="false">IFERROR(INDEX(Jobs!$E:$E,MATCH($B168,Jobs!$A:$A,0)),"")</f>
        <v/>
      </c>
      <c r="D168" s="41"/>
      <c r="E168" s="13"/>
      <c r="F168" s="41"/>
      <c r="G168" s="42"/>
    </row>
    <row r="169" customFormat="false" ht="15" hidden="false" customHeight="false" outlineLevel="0" collapsed="false">
      <c r="A169" s="42"/>
      <c r="B169" s="41"/>
      <c r="C169" s="49" t="str">
        <f aca="false">IFERROR(INDEX(Jobs!$E:$E,MATCH($B169,Jobs!$A:$A,0)),"")</f>
        <v/>
      </c>
      <c r="D169" s="41"/>
      <c r="E169" s="13"/>
      <c r="F169" s="41"/>
      <c r="G169" s="42"/>
    </row>
    <row r="170" customFormat="false" ht="15" hidden="false" customHeight="false" outlineLevel="0" collapsed="false">
      <c r="A170" s="42"/>
      <c r="B170" s="41"/>
      <c r="C170" s="49" t="str">
        <f aca="false">IFERROR(INDEX(Jobs!$E:$E,MATCH($B170,Jobs!$A:$A,0)),"")</f>
        <v/>
      </c>
      <c r="D170" s="41"/>
      <c r="E170" s="13"/>
      <c r="F170" s="41"/>
      <c r="G170" s="42"/>
    </row>
    <row r="171" customFormat="false" ht="15" hidden="false" customHeight="false" outlineLevel="0" collapsed="false">
      <c r="A171" s="42"/>
      <c r="B171" s="41"/>
      <c r="C171" s="49" t="str">
        <f aca="false">IFERROR(INDEX(Jobs!$E:$E,MATCH($B171,Jobs!$A:$A,0)),"")</f>
        <v/>
      </c>
      <c r="D171" s="41"/>
      <c r="E171" s="13"/>
      <c r="F171" s="41"/>
      <c r="G171" s="42"/>
    </row>
    <row r="172" customFormat="false" ht="15" hidden="false" customHeight="false" outlineLevel="0" collapsed="false">
      <c r="A172" s="42"/>
      <c r="B172" s="41"/>
      <c r="C172" s="49" t="str">
        <f aca="false">IFERROR(INDEX(Jobs!$E:$E,MATCH($B172,Jobs!$A:$A,0)),"")</f>
        <v/>
      </c>
      <c r="D172" s="41"/>
      <c r="E172" s="13"/>
      <c r="F172" s="41"/>
      <c r="G172" s="42"/>
    </row>
    <row r="173" customFormat="false" ht="15" hidden="false" customHeight="false" outlineLevel="0" collapsed="false">
      <c r="A173" s="42"/>
      <c r="B173" s="41"/>
      <c r="C173" s="49" t="str">
        <f aca="false">IFERROR(INDEX(Jobs!$E:$E,MATCH($B173,Jobs!$A:$A,0)),"")</f>
        <v/>
      </c>
      <c r="D173" s="41"/>
      <c r="E173" s="13"/>
      <c r="F173" s="41"/>
      <c r="G173" s="42"/>
    </row>
    <row r="174" customFormat="false" ht="15" hidden="false" customHeight="false" outlineLevel="0" collapsed="false">
      <c r="A174" s="42"/>
      <c r="B174" s="41"/>
      <c r="C174" s="49" t="str">
        <f aca="false">IFERROR(INDEX(Jobs!$E:$E,MATCH($B174,Jobs!$A:$A,0)),"")</f>
        <v/>
      </c>
      <c r="D174" s="41"/>
      <c r="E174" s="13"/>
      <c r="F174" s="41"/>
      <c r="G174" s="42"/>
    </row>
    <row r="175" customFormat="false" ht="15" hidden="false" customHeight="false" outlineLevel="0" collapsed="false">
      <c r="A175" s="42"/>
      <c r="B175" s="41"/>
      <c r="C175" s="49" t="str">
        <f aca="false">IFERROR(INDEX(Jobs!$E:$E,MATCH($B175,Jobs!$A:$A,0)),"")</f>
        <v/>
      </c>
      <c r="D175" s="41"/>
      <c r="E175" s="13"/>
      <c r="F175" s="41"/>
      <c r="G175" s="42"/>
    </row>
    <row r="176" customFormat="false" ht="15" hidden="false" customHeight="false" outlineLevel="0" collapsed="false">
      <c r="A176" s="42"/>
      <c r="B176" s="41"/>
      <c r="C176" s="49" t="str">
        <f aca="false">IFERROR(INDEX(Jobs!$E:$E,MATCH($B176,Jobs!$A:$A,0)),"")</f>
        <v/>
      </c>
      <c r="D176" s="41"/>
      <c r="E176" s="13"/>
      <c r="F176" s="41"/>
      <c r="G176" s="42"/>
    </row>
    <row r="177" customFormat="false" ht="15" hidden="false" customHeight="false" outlineLevel="0" collapsed="false">
      <c r="A177" s="42"/>
      <c r="B177" s="41"/>
      <c r="C177" s="49" t="str">
        <f aca="false">IFERROR(INDEX(Jobs!$E:$E,MATCH($B177,Jobs!$A:$A,0)),"")</f>
        <v/>
      </c>
      <c r="D177" s="41"/>
      <c r="E177" s="13"/>
      <c r="F177" s="41"/>
      <c r="G177" s="42"/>
    </row>
    <row r="178" customFormat="false" ht="15" hidden="false" customHeight="false" outlineLevel="0" collapsed="false">
      <c r="A178" s="42"/>
      <c r="B178" s="41"/>
      <c r="C178" s="49" t="str">
        <f aca="false">IFERROR(INDEX(Jobs!$E:$E,MATCH($B178,Jobs!$A:$A,0)),"")</f>
        <v/>
      </c>
      <c r="D178" s="41"/>
      <c r="E178" s="13"/>
      <c r="F178" s="41"/>
      <c r="G178" s="42"/>
    </row>
    <row r="179" customFormat="false" ht="15" hidden="false" customHeight="false" outlineLevel="0" collapsed="false">
      <c r="A179" s="42"/>
      <c r="B179" s="41"/>
      <c r="C179" s="49" t="str">
        <f aca="false">IFERROR(INDEX(Jobs!$E:$E,MATCH($B179,Jobs!$A:$A,0)),"")</f>
        <v/>
      </c>
      <c r="D179" s="41"/>
      <c r="E179" s="13"/>
      <c r="F179" s="41"/>
      <c r="G179" s="42"/>
    </row>
    <row r="180" customFormat="false" ht="15" hidden="false" customHeight="false" outlineLevel="0" collapsed="false">
      <c r="A180" s="42"/>
      <c r="B180" s="41"/>
      <c r="C180" s="49" t="str">
        <f aca="false">IFERROR(INDEX(Jobs!$E:$E,MATCH($B180,Jobs!$A:$A,0)),"")</f>
        <v/>
      </c>
      <c r="D180" s="41"/>
      <c r="E180" s="13"/>
      <c r="F180" s="41"/>
      <c r="G180" s="42"/>
    </row>
    <row r="181" customFormat="false" ht="15" hidden="false" customHeight="false" outlineLevel="0" collapsed="false">
      <c r="A181" s="42"/>
      <c r="B181" s="41"/>
      <c r="C181" s="49" t="str">
        <f aca="false">IFERROR(INDEX(Jobs!$E:$E,MATCH($B181,Jobs!$A:$A,0)),"")</f>
        <v/>
      </c>
      <c r="D181" s="41"/>
      <c r="E181" s="13"/>
      <c r="F181" s="41"/>
      <c r="G181" s="42"/>
    </row>
    <row r="182" customFormat="false" ht="15" hidden="false" customHeight="false" outlineLevel="0" collapsed="false">
      <c r="A182" s="42"/>
      <c r="B182" s="41"/>
      <c r="C182" s="49" t="str">
        <f aca="false">IFERROR(INDEX(Jobs!$E:$E,MATCH($B182,Jobs!$A:$A,0)),"")</f>
        <v/>
      </c>
      <c r="D182" s="41"/>
      <c r="E182" s="13"/>
      <c r="F182" s="41"/>
      <c r="G182" s="42"/>
    </row>
    <row r="183" customFormat="false" ht="15" hidden="false" customHeight="false" outlineLevel="0" collapsed="false">
      <c r="A183" s="42"/>
      <c r="B183" s="41"/>
      <c r="C183" s="49" t="str">
        <f aca="false">IFERROR(INDEX(Jobs!$E:$E,MATCH($B183,Jobs!$A:$A,0)),"")</f>
        <v/>
      </c>
      <c r="D183" s="41"/>
      <c r="E183" s="13"/>
      <c r="F183" s="41"/>
      <c r="G183" s="42"/>
    </row>
    <row r="184" customFormat="false" ht="15" hidden="false" customHeight="false" outlineLevel="0" collapsed="false">
      <c r="A184" s="42"/>
      <c r="B184" s="41"/>
      <c r="C184" s="49" t="str">
        <f aca="false">IFERROR(INDEX(Jobs!$E:$E,MATCH($B184,Jobs!$A:$A,0)),"")</f>
        <v/>
      </c>
      <c r="D184" s="41"/>
      <c r="E184" s="13"/>
      <c r="F184" s="41"/>
      <c r="G184" s="42"/>
    </row>
    <row r="185" customFormat="false" ht="15" hidden="false" customHeight="false" outlineLevel="0" collapsed="false">
      <c r="A185" s="42"/>
      <c r="B185" s="41"/>
      <c r="C185" s="49" t="str">
        <f aca="false">IFERROR(INDEX(Jobs!$E:$E,MATCH($B185,Jobs!$A:$A,0)),"")</f>
        <v/>
      </c>
      <c r="D185" s="41"/>
      <c r="E185" s="13"/>
      <c r="F185" s="41"/>
      <c r="G185" s="42"/>
    </row>
    <row r="186" customFormat="false" ht="15" hidden="false" customHeight="false" outlineLevel="0" collapsed="false">
      <c r="A186" s="42"/>
      <c r="B186" s="41"/>
      <c r="C186" s="49" t="str">
        <f aca="false">IFERROR(INDEX(Jobs!$E:$E,MATCH($B186,Jobs!$A:$A,0)),"")</f>
        <v/>
      </c>
      <c r="D186" s="41"/>
      <c r="E186" s="13"/>
      <c r="F186" s="41"/>
      <c r="G186" s="42"/>
    </row>
    <row r="187" customFormat="false" ht="15" hidden="false" customHeight="false" outlineLevel="0" collapsed="false">
      <c r="A187" s="42"/>
      <c r="B187" s="41"/>
      <c r="C187" s="49" t="str">
        <f aca="false">IFERROR(INDEX(Jobs!$E:$E,MATCH($B187,Jobs!$A:$A,0)),"")</f>
        <v/>
      </c>
      <c r="D187" s="41"/>
      <c r="E187" s="13"/>
      <c r="F187" s="41"/>
      <c r="G187" s="42"/>
    </row>
    <row r="188" customFormat="false" ht="15" hidden="false" customHeight="false" outlineLevel="0" collapsed="false">
      <c r="A188" s="42"/>
      <c r="B188" s="41"/>
      <c r="C188" s="49" t="str">
        <f aca="false">IFERROR(INDEX(Jobs!$E:$E,MATCH($B188,Jobs!$A:$A,0)),"")</f>
        <v/>
      </c>
      <c r="D188" s="41"/>
      <c r="E188" s="13"/>
      <c r="F188" s="41"/>
      <c r="G188" s="42"/>
    </row>
    <row r="189" customFormat="false" ht="15" hidden="false" customHeight="false" outlineLevel="0" collapsed="false">
      <c r="A189" s="42"/>
      <c r="B189" s="41"/>
      <c r="C189" s="49" t="str">
        <f aca="false">IFERROR(INDEX(Jobs!$E:$E,MATCH($B189,Jobs!$A:$A,0)),"")</f>
        <v/>
      </c>
      <c r="D189" s="41"/>
      <c r="E189" s="13"/>
      <c r="F189" s="41"/>
      <c r="G189" s="42"/>
    </row>
    <row r="190" customFormat="false" ht="15" hidden="false" customHeight="false" outlineLevel="0" collapsed="false">
      <c r="A190" s="42"/>
      <c r="B190" s="41"/>
      <c r="C190" s="49" t="str">
        <f aca="false">IFERROR(INDEX(Jobs!$E:$E,MATCH($B190,Jobs!$A:$A,0)),"")</f>
        <v/>
      </c>
      <c r="D190" s="41"/>
      <c r="E190" s="13"/>
      <c r="F190" s="41"/>
      <c r="G190" s="42"/>
    </row>
    <row r="191" customFormat="false" ht="15" hidden="false" customHeight="false" outlineLevel="0" collapsed="false">
      <c r="A191" s="42"/>
      <c r="B191" s="41"/>
      <c r="C191" s="49" t="str">
        <f aca="false">IFERROR(INDEX(Jobs!$E:$E,MATCH($B191,Jobs!$A:$A,0)),"")</f>
        <v/>
      </c>
      <c r="D191" s="41"/>
      <c r="E191" s="13"/>
      <c r="F191" s="41"/>
      <c r="G191" s="42"/>
    </row>
    <row r="192" customFormat="false" ht="15" hidden="false" customHeight="false" outlineLevel="0" collapsed="false">
      <c r="A192" s="42"/>
      <c r="B192" s="41"/>
      <c r="C192" s="49" t="str">
        <f aca="false">IFERROR(INDEX(Jobs!$E:$E,MATCH($B192,Jobs!$A:$A,0)),"")</f>
        <v/>
      </c>
      <c r="D192" s="41"/>
      <c r="E192" s="13"/>
      <c r="F192" s="41"/>
      <c r="G192" s="42"/>
    </row>
    <row r="193" customFormat="false" ht="15" hidden="false" customHeight="false" outlineLevel="0" collapsed="false">
      <c r="A193" s="42"/>
      <c r="B193" s="41"/>
      <c r="C193" s="49" t="str">
        <f aca="false">IFERROR(INDEX(Jobs!$E:$E,MATCH($B193,Jobs!$A:$A,0)),"")</f>
        <v/>
      </c>
      <c r="D193" s="41"/>
      <c r="E193" s="13"/>
      <c r="F193" s="41"/>
      <c r="G193" s="42"/>
    </row>
    <row r="194" customFormat="false" ht="15" hidden="false" customHeight="false" outlineLevel="0" collapsed="false">
      <c r="A194" s="42"/>
      <c r="B194" s="41"/>
      <c r="C194" s="49" t="str">
        <f aca="false">IFERROR(INDEX(Jobs!$E:$E,MATCH($B194,Jobs!$A:$A,0)),"")</f>
        <v/>
      </c>
      <c r="D194" s="41"/>
      <c r="E194" s="13"/>
      <c r="F194" s="41"/>
      <c r="G194" s="42"/>
    </row>
    <row r="195" customFormat="false" ht="15" hidden="false" customHeight="false" outlineLevel="0" collapsed="false">
      <c r="A195" s="42"/>
      <c r="B195" s="41"/>
      <c r="C195" s="49" t="str">
        <f aca="false">IFERROR(INDEX(Jobs!$E:$E,MATCH($B195,Jobs!$A:$A,0)),"")</f>
        <v/>
      </c>
      <c r="D195" s="41"/>
      <c r="E195" s="13"/>
      <c r="F195" s="41"/>
      <c r="G195" s="42"/>
    </row>
    <row r="196" customFormat="false" ht="15" hidden="false" customHeight="false" outlineLevel="0" collapsed="false">
      <c r="A196" s="42"/>
      <c r="B196" s="41"/>
      <c r="C196" s="49" t="str">
        <f aca="false">IFERROR(INDEX(Jobs!$E:$E,MATCH($B196,Jobs!$A:$A,0)),"")</f>
        <v/>
      </c>
      <c r="D196" s="41"/>
      <c r="E196" s="13"/>
      <c r="F196" s="41"/>
      <c r="G196" s="42"/>
    </row>
    <row r="197" customFormat="false" ht="15" hidden="false" customHeight="false" outlineLevel="0" collapsed="false">
      <c r="A197" s="42"/>
      <c r="B197" s="41"/>
      <c r="C197" s="49" t="str">
        <f aca="false">IFERROR(INDEX(Jobs!$E:$E,MATCH($B197,Jobs!$A:$A,0)),"")</f>
        <v/>
      </c>
      <c r="D197" s="41"/>
      <c r="E197" s="13"/>
      <c r="F197" s="41"/>
      <c r="G197" s="42"/>
    </row>
    <row r="198" customFormat="false" ht="15" hidden="false" customHeight="false" outlineLevel="0" collapsed="false">
      <c r="A198" s="42"/>
      <c r="B198" s="41"/>
      <c r="C198" s="49" t="str">
        <f aca="false">IFERROR(INDEX(Jobs!$E:$E,MATCH($B198,Jobs!$A:$A,0)),"")</f>
        <v/>
      </c>
      <c r="D198" s="41"/>
      <c r="E198" s="13"/>
      <c r="F198" s="41"/>
      <c r="G198" s="42"/>
    </row>
    <row r="199" customFormat="false" ht="15" hidden="false" customHeight="false" outlineLevel="0" collapsed="false">
      <c r="A199" s="42"/>
      <c r="B199" s="41"/>
      <c r="C199" s="49" t="str">
        <f aca="false">IFERROR(INDEX(Jobs!$E:$E,MATCH($B199,Jobs!$A:$A,0)),"")</f>
        <v/>
      </c>
      <c r="D199" s="41"/>
      <c r="E199" s="13"/>
      <c r="F199" s="41"/>
      <c r="G199" s="42"/>
    </row>
    <row r="200" customFormat="false" ht="15" hidden="false" customHeight="false" outlineLevel="0" collapsed="false">
      <c r="A200" s="42"/>
      <c r="B200" s="41"/>
      <c r="C200" s="49" t="str">
        <f aca="false">IFERROR(INDEX(Jobs!$E:$E,MATCH($B200,Jobs!$A:$A,0)),"")</f>
        <v/>
      </c>
      <c r="D200" s="41"/>
      <c r="E200" s="13"/>
      <c r="F200" s="41"/>
      <c r="G200" s="42"/>
    </row>
    <row r="201" customFormat="false" ht="15" hidden="false" customHeight="false" outlineLevel="0" collapsed="false">
      <c r="A201" s="42"/>
      <c r="B201" s="41"/>
      <c r="C201" s="49" t="str">
        <f aca="false">IFERROR(INDEX(Jobs!$E:$E,MATCH($B201,Jobs!$A:$A,0)),"")</f>
        <v/>
      </c>
      <c r="D201" s="41"/>
      <c r="E201" s="13"/>
      <c r="F201" s="41"/>
      <c r="G201" s="42"/>
    </row>
    <row r="202" customFormat="false" ht="15" hidden="false" customHeight="false" outlineLevel="0" collapsed="false">
      <c r="A202" s="42"/>
      <c r="B202" s="41"/>
      <c r="C202" s="49" t="str">
        <f aca="false">IFERROR(INDEX(Jobs!$E:$E,MATCH($B202,Jobs!$A:$A,0)),"")</f>
        <v/>
      </c>
      <c r="D202" s="41"/>
      <c r="E202" s="13"/>
      <c r="F202" s="41"/>
      <c r="G202" s="42"/>
    </row>
    <row r="203" customFormat="false" ht="15" hidden="false" customHeight="false" outlineLevel="0" collapsed="false">
      <c r="A203" s="42"/>
      <c r="B203" s="41"/>
      <c r="C203" s="49" t="str">
        <f aca="false">IFERROR(INDEX(Jobs!$E:$E,MATCH($B203,Jobs!$A:$A,0)),"")</f>
        <v/>
      </c>
      <c r="D203" s="41"/>
      <c r="E203" s="13"/>
      <c r="F203" s="41"/>
      <c r="G203" s="42"/>
    </row>
    <row r="204" customFormat="false" ht="15" hidden="false" customHeight="false" outlineLevel="0" collapsed="false">
      <c r="A204" s="42"/>
      <c r="B204" s="41"/>
      <c r="C204" s="49" t="str">
        <f aca="false">IFERROR(INDEX(Jobs!$E:$E,MATCH($B204,Jobs!$A:$A,0)),"")</f>
        <v/>
      </c>
      <c r="D204" s="41"/>
      <c r="E204" s="13"/>
      <c r="F204" s="41"/>
      <c r="G204" s="42"/>
    </row>
    <row r="205" customFormat="false" ht="15" hidden="false" customHeight="false" outlineLevel="0" collapsed="false">
      <c r="A205" s="42"/>
      <c r="B205" s="41"/>
      <c r="C205" s="49" t="str">
        <f aca="false">IFERROR(INDEX(Jobs!$E:$E,MATCH($B205,Jobs!$A:$A,0)),"")</f>
        <v/>
      </c>
      <c r="D205" s="41"/>
      <c r="E205" s="13"/>
      <c r="F205" s="41"/>
      <c r="G205" s="42"/>
    </row>
    <row r="206" customFormat="false" ht="15" hidden="false" customHeight="false" outlineLevel="0" collapsed="false">
      <c r="A206" s="42"/>
      <c r="B206" s="41"/>
      <c r="C206" s="49" t="str">
        <f aca="false">IFERROR(INDEX(Jobs!$E:$E,MATCH($B206,Jobs!$A:$A,0)),"")</f>
        <v/>
      </c>
      <c r="D206" s="41"/>
      <c r="E206" s="13"/>
      <c r="F206" s="41"/>
      <c r="G206" s="42"/>
    </row>
    <row r="207" customFormat="false" ht="15" hidden="false" customHeight="false" outlineLevel="0" collapsed="false">
      <c r="A207" s="42"/>
      <c r="B207" s="41"/>
      <c r="C207" s="49" t="str">
        <f aca="false">IFERROR(INDEX(Jobs!$E:$E,MATCH($B207,Jobs!$A:$A,0)),"")</f>
        <v/>
      </c>
      <c r="D207" s="41"/>
      <c r="E207" s="13"/>
      <c r="F207" s="41"/>
      <c r="G207" s="42"/>
    </row>
    <row r="208" customFormat="false" ht="15" hidden="false" customHeight="false" outlineLevel="0" collapsed="false">
      <c r="A208" s="42"/>
      <c r="B208" s="41"/>
      <c r="C208" s="49" t="str">
        <f aca="false">IFERROR(INDEX(Jobs!$E:$E,MATCH($B208,Jobs!$A:$A,0)),"")</f>
        <v/>
      </c>
      <c r="D208" s="41"/>
      <c r="E208" s="13"/>
      <c r="F208" s="41"/>
      <c r="G208" s="42"/>
    </row>
    <row r="209" customFormat="false" ht="15" hidden="false" customHeight="false" outlineLevel="0" collapsed="false">
      <c r="A209" s="42"/>
      <c r="B209" s="41"/>
      <c r="C209" s="49" t="str">
        <f aca="false">IFERROR(INDEX(Jobs!$E:$E,MATCH($B209,Jobs!$A:$A,0)),"")</f>
        <v/>
      </c>
      <c r="D209" s="41"/>
      <c r="E209" s="13"/>
      <c r="F209" s="41"/>
      <c r="G209" s="42"/>
    </row>
    <row r="210" customFormat="false" ht="15" hidden="false" customHeight="false" outlineLevel="0" collapsed="false">
      <c r="A210" s="42"/>
      <c r="B210" s="41"/>
      <c r="C210" s="49" t="str">
        <f aca="false">IFERROR(INDEX(Jobs!$E:$E,MATCH($B210,Jobs!$A:$A,0)),"")</f>
        <v/>
      </c>
      <c r="D210" s="41"/>
      <c r="E210" s="13"/>
      <c r="F210" s="41"/>
      <c r="G210" s="42"/>
    </row>
    <row r="211" customFormat="false" ht="15" hidden="false" customHeight="false" outlineLevel="0" collapsed="false">
      <c r="A211" s="42"/>
      <c r="B211" s="41"/>
      <c r="C211" s="49" t="str">
        <f aca="false">IFERROR(INDEX(Jobs!$E:$E,MATCH($B211,Jobs!$A:$A,0)),"")</f>
        <v/>
      </c>
      <c r="D211" s="41"/>
      <c r="E211" s="13"/>
      <c r="F211" s="41"/>
      <c r="G211" s="42"/>
    </row>
    <row r="212" customFormat="false" ht="15" hidden="false" customHeight="false" outlineLevel="0" collapsed="false">
      <c r="A212" s="42"/>
      <c r="B212" s="41"/>
      <c r="C212" s="49" t="str">
        <f aca="false">IFERROR(INDEX(Jobs!$E:$E,MATCH($B212,Jobs!$A:$A,0)),"")</f>
        <v/>
      </c>
      <c r="D212" s="41"/>
      <c r="E212" s="13"/>
      <c r="F212" s="41"/>
      <c r="G212" s="42"/>
    </row>
    <row r="213" customFormat="false" ht="15" hidden="false" customHeight="false" outlineLevel="0" collapsed="false">
      <c r="A213" s="42"/>
      <c r="B213" s="41"/>
      <c r="C213" s="49" t="str">
        <f aca="false">IFERROR(INDEX(Jobs!$E:$E,MATCH($B213,Jobs!$A:$A,0)),"")</f>
        <v/>
      </c>
      <c r="D213" s="41"/>
      <c r="E213" s="13"/>
      <c r="F213" s="41"/>
      <c r="G213" s="42"/>
    </row>
    <row r="214" customFormat="false" ht="15" hidden="false" customHeight="false" outlineLevel="0" collapsed="false">
      <c r="A214" s="42"/>
      <c r="B214" s="41"/>
      <c r="C214" s="49" t="str">
        <f aca="false">IFERROR(INDEX(Jobs!$E:$E,MATCH($B214,Jobs!$A:$A,0)),"")</f>
        <v/>
      </c>
      <c r="D214" s="41"/>
      <c r="E214" s="13"/>
      <c r="F214" s="41"/>
      <c r="G214" s="42"/>
    </row>
    <row r="215" customFormat="false" ht="15" hidden="false" customHeight="false" outlineLevel="0" collapsed="false">
      <c r="A215" s="42"/>
      <c r="B215" s="41"/>
      <c r="C215" s="49" t="str">
        <f aca="false">IFERROR(INDEX(Jobs!$E:$E,MATCH($B215,Jobs!$A:$A,0)),"")</f>
        <v/>
      </c>
      <c r="D215" s="41"/>
      <c r="E215" s="13"/>
      <c r="F215" s="41"/>
      <c r="G215" s="42"/>
    </row>
    <row r="216" customFormat="false" ht="15" hidden="false" customHeight="false" outlineLevel="0" collapsed="false">
      <c r="A216" s="42"/>
      <c r="B216" s="41"/>
      <c r="C216" s="49" t="str">
        <f aca="false">IFERROR(INDEX(Jobs!$E:$E,MATCH($B216,Jobs!$A:$A,0)),"")</f>
        <v/>
      </c>
      <c r="D216" s="41"/>
      <c r="E216" s="13"/>
      <c r="F216" s="41"/>
      <c r="G216" s="42"/>
    </row>
    <row r="217" customFormat="false" ht="15" hidden="false" customHeight="false" outlineLevel="0" collapsed="false">
      <c r="A217" s="42"/>
      <c r="B217" s="41"/>
      <c r="C217" s="49" t="str">
        <f aca="false">IFERROR(INDEX(Jobs!$E:$E,MATCH($B217,Jobs!$A:$A,0)),"")</f>
        <v/>
      </c>
      <c r="D217" s="41"/>
      <c r="E217" s="13"/>
      <c r="F217" s="41"/>
      <c r="G217" s="42"/>
    </row>
    <row r="218" customFormat="false" ht="15" hidden="false" customHeight="false" outlineLevel="0" collapsed="false">
      <c r="A218" s="42"/>
      <c r="B218" s="41"/>
      <c r="C218" s="49" t="str">
        <f aca="false">IFERROR(INDEX(Jobs!$E:$E,MATCH($B218,Jobs!$A:$A,0)),"")</f>
        <v/>
      </c>
      <c r="D218" s="41"/>
      <c r="E218" s="13"/>
      <c r="F218" s="41"/>
      <c r="G218" s="42"/>
    </row>
    <row r="219" customFormat="false" ht="15" hidden="false" customHeight="false" outlineLevel="0" collapsed="false">
      <c r="A219" s="42"/>
      <c r="B219" s="41"/>
      <c r="C219" s="49" t="str">
        <f aca="false">IFERROR(INDEX(Jobs!$E:$E,MATCH($B219,Jobs!$A:$A,0)),"")</f>
        <v/>
      </c>
      <c r="D219" s="41"/>
      <c r="E219" s="13"/>
      <c r="F219" s="41"/>
      <c r="G219" s="42"/>
    </row>
    <row r="220" customFormat="false" ht="15" hidden="false" customHeight="false" outlineLevel="0" collapsed="false">
      <c r="A220" s="42"/>
      <c r="B220" s="41"/>
      <c r="C220" s="49" t="str">
        <f aca="false">IFERROR(INDEX(Jobs!$E:$E,MATCH($B220,Jobs!$A:$A,0)),"")</f>
        <v/>
      </c>
      <c r="D220" s="41"/>
      <c r="E220" s="13"/>
      <c r="F220" s="41"/>
      <c r="G220" s="42"/>
    </row>
    <row r="221" customFormat="false" ht="15" hidden="false" customHeight="false" outlineLevel="0" collapsed="false">
      <c r="A221" s="42"/>
      <c r="B221" s="41"/>
      <c r="C221" s="49" t="str">
        <f aca="false">IFERROR(INDEX(Jobs!$E:$E,MATCH($B221,Jobs!$A:$A,0)),"")</f>
        <v/>
      </c>
      <c r="D221" s="41"/>
      <c r="E221" s="13"/>
      <c r="F221" s="41"/>
      <c r="G221" s="42"/>
    </row>
    <row r="222" customFormat="false" ht="15" hidden="false" customHeight="false" outlineLevel="0" collapsed="false">
      <c r="A222" s="42"/>
      <c r="B222" s="41"/>
      <c r="C222" s="49" t="str">
        <f aca="false">IFERROR(INDEX(Jobs!$E:$E,MATCH($B222,Jobs!$A:$A,0)),"")</f>
        <v/>
      </c>
      <c r="D222" s="41"/>
      <c r="E222" s="13"/>
      <c r="F222" s="41"/>
      <c r="G222" s="42"/>
    </row>
    <row r="223" customFormat="false" ht="15" hidden="false" customHeight="false" outlineLevel="0" collapsed="false">
      <c r="A223" s="42"/>
      <c r="B223" s="41"/>
      <c r="C223" s="49" t="str">
        <f aca="false">IFERROR(INDEX(Jobs!$E:$E,MATCH($B223,Jobs!$A:$A,0)),"")</f>
        <v/>
      </c>
      <c r="D223" s="41"/>
      <c r="E223" s="13"/>
      <c r="F223" s="41"/>
      <c r="G223" s="42"/>
    </row>
    <row r="224" customFormat="false" ht="15" hidden="false" customHeight="false" outlineLevel="0" collapsed="false">
      <c r="A224" s="42"/>
      <c r="B224" s="41"/>
      <c r="C224" s="49" t="str">
        <f aca="false">IFERROR(INDEX(Jobs!$E:$E,MATCH($B224,Jobs!$A:$A,0)),"")</f>
        <v/>
      </c>
      <c r="D224" s="41"/>
      <c r="E224" s="13"/>
      <c r="F224" s="41"/>
      <c r="G224" s="42"/>
    </row>
    <row r="225" customFormat="false" ht="15" hidden="false" customHeight="false" outlineLevel="0" collapsed="false">
      <c r="A225" s="42"/>
      <c r="B225" s="41"/>
      <c r="C225" s="49" t="str">
        <f aca="false">IFERROR(INDEX(Jobs!$E:$E,MATCH($B225,Jobs!$A:$A,0)),"")</f>
        <v/>
      </c>
      <c r="D225" s="41"/>
      <c r="E225" s="13"/>
      <c r="F225" s="41"/>
      <c r="G225" s="42"/>
    </row>
    <row r="226" customFormat="false" ht="15" hidden="false" customHeight="false" outlineLevel="0" collapsed="false">
      <c r="A226" s="42"/>
      <c r="B226" s="41"/>
      <c r="C226" s="49" t="str">
        <f aca="false">IFERROR(INDEX(Jobs!$E:$E,MATCH($B226,Jobs!$A:$A,0)),"")</f>
        <v/>
      </c>
      <c r="D226" s="41"/>
      <c r="E226" s="13"/>
      <c r="F226" s="41"/>
      <c r="G226" s="42"/>
    </row>
    <row r="227" customFormat="false" ht="15" hidden="false" customHeight="false" outlineLevel="0" collapsed="false">
      <c r="A227" s="42"/>
      <c r="B227" s="41"/>
      <c r="C227" s="49" t="str">
        <f aca="false">IFERROR(INDEX(Jobs!$E:$E,MATCH($B227,Jobs!$A:$A,0)),"")</f>
        <v/>
      </c>
      <c r="D227" s="41"/>
      <c r="E227" s="13"/>
      <c r="F227" s="41"/>
      <c r="G227" s="42"/>
    </row>
    <row r="228" customFormat="false" ht="15" hidden="false" customHeight="false" outlineLevel="0" collapsed="false">
      <c r="A228" s="42"/>
      <c r="B228" s="41"/>
      <c r="C228" s="49" t="str">
        <f aca="false">IFERROR(INDEX(Jobs!$E:$E,MATCH($B228,Jobs!$A:$A,0)),"")</f>
        <v/>
      </c>
      <c r="D228" s="41"/>
      <c r="E228" s="13"/>
      <c r="F228" s="41"/>
      <c r="G228" s="42"/>
    </row>
    <row r="229" customFormat="false" ht="15" hidden="false" customHeight="false" outlineLevel="0" collapsed="false">
      <c r="A229" s="42"/>
      <c r="B229" s="41"/>
      <c r="C229" s="49" t="str">
        <f aca="false">IFERROR(INDEX(Jobs!$E:$E,MATCH($B229,Jobs!$A:$A,0)),"")</f>
        <v/>
      </c>
      <c r="D229" s="41"/>
      <c r="E229" s="13"/>
      <c r="F229" s="41"/>
      <c r="G229" s="42"/>
    </row>
    <row r="230" customFormat="false" ht="15" hidden="false" customHeight="false" outlineLevel="0" collapsed="false">
      <c r="A230" s="42"/>
      <c r="B230" s="41"/>
      <c r="C230" s="49" t="str">
        <f aca="false">IFERROR(INDEX(Jobs!$E:$E,MATCH($B230,Jobs!$A:$A,0)),"")</f>
        <v/>
      </c>
      <c r="D230" s="41"/>
      <c r="E230" s="13"/>
      <c r="F230" s="41"/>
      <c r="G230" s="42"/>
    </row>
    <row r="231" customFormat="false" ht="15" hidden="false" customHeight="false" outlineLevel="0" collapsed="false">
      <c r="A231" s="42"/>
      <c r="B231" s="41"/>
      <c r="C231" s="49" t="str">
        <f aca="false">IFERROR(INDEX(Jobs!$E:$E,MATCH($B231,Jobs!$A:$A,0)),"")</f>
        <v/>
      </c>
      <c r="D231" s="41"/>
      <c r="E231" s="13"/>
      <c r="F231" s="41"/>
      <c r="G231" s="42"/>
    </row>
    <row r="232" customFormat="false" ht="15" hidden="false" customHeight="false" outlineLevel="0" collapsed="false">
      <c r="A232" s="42"/>
      <c r="B232" s="41"/>
      <c r="C232" s="49" t="str">
        <f aca="false">IFERROR(INDEX(Jobs!$E:$E,MATCH($B232,Jobs!$A:$A,0)),"")</f>
        <v/>
      </c>
      <c r="D232" s="41"/>
      <c r="E232" s="13"/>
      <c r="F232" s="41"/>
      <c r="G232" s="42"/>
    </row>
    <row r="233" customFormat="false" ht="15" hidden="false" customHeight="false" outlineLevel="0" collapsed="false">
      <c r="A233" s="42"/>
      <c r="B233" s="41"/>
      <c r="C233" s="49" t="str">
        <f aca="false">IFERROR(INDEX(Jobs!$E:$E,MATCH($B233,Jobs!$A:$A,0)),"")</f>
        <v/>
      </c>
      <c r="D233" s="41"/>
      <c r="E233" s="13"/>
      <c r="F233" s="41"/>
      <c r="G233" s="42"/>
    </row>
    <row r="234" customFormat="false" ht="15" hidden="false" customHeight="false" outlineLevel="0" collapsed="false">
      <c r="A234" s="42"/>
      <c r="B234" s="41"/>
      <c r="C234" s="49" t="str">
        <f aca="false">IFERROR(INDEX(Jobs!$E:$E,MATCH($B234,Jobs!$A:$A,0)),"")</f>
        <v/>
      </c>
      <c r="D234" s="41"/>
      <c r="E234" s="13"/>
      <c r="F234" s="41"/>
      <c r="G234" s="42"/>
    </row>
    <row r="235" customFormat="false" ht="15" hidden="false" customHeight="false" outlineLevel="0" collapsed="false">
      <c r="A235" s="42"/>
      <c r="B235" s="41"/>
      <c r="C235" s="49" t="str">
        <f aca="false">IFERROR(INDEX(Jobs!$E:$E,MATCH($B235,Jobs!$A:$A,0)),"")</f>
        <v/>
      </c>
      <c r="D235" s="41"/>
      <c r="E235" s="13"/>
      <c r="F235" s="41"/>
      <c r="G235" s="42"/>
    </row>
    <row r="236" customFormat="false" ht="15" hidden="false" customHeight="false" outlineLevel="0" collapsed="false">
      <c r="A236" s="42"/>
      <c r="B236" s="41"/>
      <c r="C236" s="49" t="str">
        <f aca="false">IFERROR(INDEX(Jobs!$E:$E,MATCH($B236,Jobs!$A:$A,0)),"")</f>
        <v/>
      </c>
      <c r="D236" s="41"/>
      <c r="E236" s="13"/>
      <c r="F236" s="41"/>
      <c r="G236" s="42"/>
    </row>
    <row r="237" customFormat="false" ht="15" hidden="false" customHeight="false" outlineLevel="0" collapsed="false">
      <c r="A237" s="42"/>
      <c r="B237" s="41"/>
      <c r="C237" s="49" t="str">
        <f aca="false">IFERROR(INDEX(Jobs!$E:$E,MATCH($B237,Jobs!$A:$A,0)),"")</f>
        <v/>
      </c>
      <c r="D237" s="41"/>
      <c r="E237" s="13"/>
      <c r="F237" s="41"/>
      <c r="G237" s="42"/>
    </row>
    <row r="238" customFormat="false" ht="15" hidden="false" customHeight="false" outlineLevel="0" collapsed="false">
      <c r="A238" s="42"/>
      <c r="B238" s="41"/>
      <c r="C238" s="49" t="str">
        <f aca="false">IFERROR(INDEX(Jobs!$E:$E,MATCH($B238,Jobs!$A:$A,0)),"")</f>
        <v/>
      </c>
      <c r="D238" s="41"/>
      <c r="E238" s="13"/>
      <c r="F238" s="41"/>
      <c r="G238" s="42"/>
    </row>
    <row r="239" customFormat="false" ht="15" hidden="false" customHeight="false" outlineLevel="0" collapsed="false">
      <c r="A239" s="42"/>
      <c r="B239" s="41"/>
      <c r="C239" s="49" t="str">
        <f aca="false">IFERROR(INDEX(Jobs!$E:$E,MATCH($B239,Jobs!$A:$A,0)),"")</f>
        <v/>
      </c>
      <c r="D239" s="41"/>
      <c r="E239" s="13"/>
      <c r="F239" s="41"/>
      <c r="G239" s="42"/>
    </row>
    <row r="240" customFormat="false" ht="15" hidden="false" customHeight="false" outlineLevel="0" collapsed="false">
      <c r="A240" s="42"/>
      <c r="B240" s="41"/>
      <c r="C240" s="49" t="str">
        <f aca="false">IFERROR(INDEX(Jobs!$E:$E,MATCH($B240,Jobs!$A:$A,0)),"")</f>
        <v/>
      </c>
      <c r="D240" s="41"/>
      <c r="E240" s="13"/>
      <c r="F240" s="41"/>
      <c r="G240" s="42"/>
    </row>
    <row r="241" customFormat="false" ht="15" hidden="false" customHeight="false" outlineLevel="0" collapsed="false">
      <c r="A241" s="42"/>
      <c r="B241" s="41"/>
      <c r="C241" s="49" t="str">
        <f aca="false">IFERROR(INDEX(Jobs!$E:$E,MATCH($B241,Jobs!$A:$A,0)),"")</f>
        <v/>
      </c>
      <c r="D241" s="41"/>
      <c r="E241" s="13"/>
      <c r="F241" s="41"/>
      <c r="G241" s="42"/>
    </row>
    <row r="242" customFormat="false" ht="15" hidden="false" customHeight="false" outlineLevel="0" collapsed="false">
      <c r="A242" s="42"/>
      <c r="B242" s="41"/>
      <c r="C242" s="49" t="str">
        <f aca="false">IFERROR(INDEX(Jobs!$E:$E,MATCH($B242,Jobs!$A:$A,0)),"")</f>
        <v/>
      </c>
      <c r="D242" s="41"/>
      <c r="E242" s="13"/>
      <c r="F242" s="41"/>
      <c r="G242" s="42"/>
    </row>
    <row r="243" customFormat="false" ht="15" hidden="false" customHeight="false" outlineLevel="0" collapsed="false">
      <c r="A243" s="42"/>
      <c r="B243" s="41"/>
      <c r="C243" s="49" t="str">
        <f aca="false">IFERROR(INDEX(Jobs!$E:$E,MATCH($B243,Jobs!$A:$A,0)),"")</f>
        <v/>
      </c>
      <c r="D243" s="41"/>
      <c r="E243" s="13"/>
      <c r="F243" s="41"/>
      <c r="G243" s="42"/>
    </row>
    <row r="244" customFormat="false" ht="15" hidden="false" customHeight="false" outlineLevel="0" collapsed="false">
      <c r="A244" s="42"/>
      <c r="B244" s="41"/>
      <c r="C244" s="49" t="str">
        <f aca="false">IFERROR(INDEX(Jobs!$E:$E,MATCH($B244,Jobs!$A:$A,0)),"")</f>
        <v/>
      </c>
      <c r="D244" s="41"/>
      <c r="E244" s="13"/>
      <c r="F244" s="41"/>
      <c r="G244" s="42"/>
    </row>
    <row r="245" customFormat="false" ht="15" hidden="false" customHeight="false" outlineLevel="0" collapsed="false">
      <c r="A245" s="42"/>
      <c r="B245" s="41"/>
      <c r="C245" s="49" t="str">
        <f aca="false">IFERROR(INDEX(Jobs!$E:$E,MATCH($B245,Jobs!$A:$A,0)),"")</f>
        <v/>
      </c>
      <c r="D245" s="41"/>
      <c r="E245" s="13"/>
      <c r="F245" s="41"/>
      <c r="G245" s="42"/>
    </row>
    <row r="246" customFormat="false" ht="15" hidden="false" customHeight="false" outlineLevel="0" collapsed="false">
      <c r="A246" s="42"/>
      <c r="B246" s="41"/>
      <c r="C246" s="49" t="str">
        <f aca="false">IFERROR(INDEX(Jobs!$E:$E,MATCH($B246,Jobs!$A:$A,0)),"")</f>
        <v/>
      </c>
      <c r="D246" s="41"/>
      <c r="E246" s="13"/>
      <c r="F246" s="41"/>
      <c r="G246" s="42"/>
    </row>
    <row r="247" customFormat="false" ht="15" hidden="false" customHeight="false" outlineLevel="0" collapsed="false">
      <c r="A247" s="42"/>
      <c r="B247" s="41"/>
      <c r="C247" s="49" t="str">
        <f aca="false">IFERROR(INDEX(Jobs!$E:$E,MATCH($B247,Jobs!$A:$A,0)),"")</f>
        <v/>
      </c>
      <c r="D247" s="41"/>
      <c r="E247" s="13"/>
      <c r="F247" s="41"/>
      <c r="G247" s="42"/>
    </row>
    <row r="248" customFormat="false" ht="15" hidden="false" customHeight="false" outlineLevel="0" collapsed="false">
      <c r="A248" s="42"/>
      <c r="B248" s="41"/>
      <c r="C248" s="49" t="str">
        <f aca="false">IFERROR(INDEX(Jobs!$E:$E,MATCH($B248,Jobs!$A:$A,0)),"")</f>
        <v/>
      </c>
      <c r="D248" s="41"/>
      <c r="E248" s="13"/>
      <c r="F248" s="41"/>
      <c r="G248" s="42"/>
    </row>
    <row r="249" customFormat="false" ht="15" hidden="false" customHeight="false" outlineLevel="0" collapsed="false">
      <c r="A249" s="42"/>
      <c r="B249" s="41"/>
      <c r="C249" s="49" t="str">
        <f aca="false">IFERROR(INDEX(Jobs!$E:$E,MATCH($B249,Jobs!$A:$A,0)),"")</f>
        <v/>
      </c>
      <c r="D249" s="41"/>
      <c r="E249" s="13"/>
      <c r="F249" s="41"/>
      <c r="G249" s="42"/>
    </row>
    <row r="250" customFormat="false" ht="15" hidden="false" customHeight="false" outlineLevel="0" collapsed="false">
      <c r="A250" s="42"/>
      <c r="B250" s="41"/>
      <c r="C250" s="49" t="str">
        <f aca="false">IFERROR(INDEX(Jobs!$E:$E,MATCH($B250,Jobs!$A:$A,0)),"")</f>
        <v/>
      </c>
      <c r="D250" s="41"/>
      <c r="E250" s="13"/>
      <c r="F250" s="41"/>
      <c r="G250" s="42"/>
    </row>
  </sheetData>
  <mergeCells count="1">
    <mergeCell ref="A1:G1"/>
  </mergeCells>
  <dataValidations count="2">
    <dataValidation allowBlank="true" errorStyle="stop" operator="between" showDropDown="false" showErrorMessage="false" showInputMessage="false" sqref="D3:D250" type="list">
      <formula1>Lists!$I$3:$I$19</formula1>
      <formula2>0</formula2>
    </dataValidation>
    <dataValidation allowBlank="true" errorStyle="stop" operator="between" showDropDown="false" showErrorMessage="false" showInputMessage="false" sqref="F3:F250" type="list">
      <formula1>Lists!$M$3:$M$13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K1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6"/>
    <col collapsed="false" customWidth="true" hidden="false" outlineLevel="0" max="10" min="10" style="0" width="14"/>
    <col collapsed="false" customWidth="true" hidden="false" outlineLevel="0" max="11" min="11" style="0" width="34"/>
  </cols>
  <sheetData>
    <row r="1" customFormat="false" ht="15" hidden="false" customHeight="true" outlineLevel="0" collapsed="false">
      <c r="A1" s="51" t="s">
        <v>365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customFormat="false" ht="23.85" hidden="false" customHeight="false" outlineLevel="0" collapsed="false">
      <c r="A2" s="52" t="s">
        <v>366</v>
      </c>
      <c r="B2" s="52" t="s">
        <v>52</v>
      </c>
      <c r="C2" s="52" t="s">
        <v>367</v>
      </c>
      <c r="D2" s="52" t="s">
        <v>49</v>
      </c>
      <c r="E2" s="52" t="s">
        <v>368</v>
      </c>
      <c r="F2" s="52" t="s">
        <v>369</v>
      </c>
      <c r="G2" s="52" t="s">
        <v>370</v>
      </c>
      <c r="H2" s="52" t="s">
        <v>66</v>
      </c>
      <c r="I2" s="52" t="s">
        <v>361</v>
      </c>
      <c r="J2" s="52" t="s">
        <v>69</v>
      </c>
      <c r="K2" s="52" t="s">
        <v>360</v>
      </c>
    </row>
    <row r="3" customFormat="false" ht="15" hidden="false" customHeight="false" outlineLevel="0" collapsed="false">
      <c r="A3" s="49" t="s">
        <v>371</v>
      </c>
      <c r="B3" s="41" t="s">
        <v>87</v>
      </c>
      <c r="C3" s="13" t="s">
        <v>372</v>
      </c>
      <c r="D3" s="41" t="s">
        <v>86</v>
      </c>
      <c r="E3" s="41"/>
      <c r="F3" s="41" t="s">
        <v>45</v>
      </c>
      <c r="G3" s="42" t="n">
        <v>46319</v>
      </c>
      <c r="H3" s="41" t="s">
        <v>373</v>
      </c>
      <c r="I3" s="41" t="s">
        <v>374</v>
      </c>
      <c r="J3" s="42" t="n">
        <v>46326</v>
      </c>
      <c r="K3" s="50" t="s">
        <v>375</v>
      </c>
    </row>
    <row r="4" customFormat="false" ht="15" hidden="false" customHeight="false" outlineLevel="0" collapsed="false">
      <c r="A4" s="41"/>
      <c r="B4" s="41"/>
      <c r="C4" s="13"/>
      <c r="D4" s="41"/>
      <c r="E4" s="41"/>
      <c r="F4" s="41"/>
      <c r="G4" s="42"/>
      <c r="H4" s="41"/>
      <c r="I4" s="41"/>
      <c r="J4" s="42"/>
      <c r="K4" s="13"/>
    </row>
    <row r="5" customFormat="false" ht="15" hidden="false" customHeight="false" outlineLevel="0" collapsed="false">
      <c r="A5" s="41"/>
      <c r="B5" s="41"/>
      <c r="C5" s="13"/>
      <c r="D5" s="41"/>
      <c r="E5" s="41"/>
      <c r="F5" s="41"/>
      <c r="G5" s="42"/>
      <c r="H5" s="41"/>
      <c r="I5" s="41"/>
      <c r="J5" s="42"/>
      <c r="K5" s="13"/>
    </row>
    <row r="6" customFormat="false" ht="15" hidden="false" customHeight="false" outlineLevel="0" collapsed="false">
      <c r="A6" s="41"/>
      <c r="B6" s="41"/>
      <c r="C6" s="13"/>
      <c r="D6" s="41"/>
      <c r="E6" s="41"/>
      <c r="F6" s="41"/>
      <c r="G6" s="42"/>
      <c r="H6" s="41"/>
      <c r="I6" s="41"/>
      <c r="J6" s="42"/>
      <c r="K6" s="13"/>
    </row>
    <row r="7" customFormat="false" ht="15" hidden="false" customHeight="false" outlineLevel="0" collapsed="false">
      <c r="A7" s="41"/>
      <c r="B7" s="41"/>
      <c r="C7" s="13"/>
      <c r="D7" s="41"/>
      <c r="E7" s="41"/>
      <c r="F7" s="41"/>
      <c r="G7" s="42"/>
      <c r="H7" s="41"/>
      <c r="I7" s="41"/>
      <c r="J7" s="42"/>
      <c r="K7" s="13"/>
    </row>
    <row r="8" customFormat="false" ht="15" hidden="false" customHeight="false" outlineLevel="0" collapsed="false">
      <c r="A8" s="41"/>
      <c r="B8" s="41"/>
      <c r="C8" s="13"/>
      <c r="D8" s="41"/>
      <c r="E8" s="41"/>
      <c r="F8" s="41"/>
      <c r="G8" s="42"/>
      <c r="H8" s="41"/>
      <c r="I8" s="41"/>
      <c r="J8" s="42"/>
      <c r="K8" s="13"/>
    </row>
    <row r="9" customFormat="false" ht="15" hidden="false" customHeight="false" outlineLevel="0" collapsed="false">
      <c r="A9" s="41"/>
      <c r="B9" s="41"/>
      <c r="C9" s="13"/>
      <c r="D9" s="41"/>
      <c r="E9" s="41"/>
      <c r="F9" s="41"/>
      <c r="G9" s="42"/>
      <c r="H9" s="41"/>
      <c r="I9" s="41"/>
      <c r="J9" s="42"/>
      <c r="K9" s="13"/>
    </row>
    <row r="10" customFormat="false" ht="15" hidden="false" customHeight="false" outlineLevel="0" collapsed="false">
      <c r="A10" s="41"/>
      <c r="B10" s="41"/>
      <c r="C10" s="13"/>
      <c r="D10" s="41"/>
      <c r="E10" s="41"/>
      <c r="F10" s="41"/>
      <c r="G10" s="42"/>
      <c r="H10" s="41"/>
      <c r="I10" s="41"/>
      <c r="J10" s="42"/>
      <c r="K10" s="13"/>
    </row>
    <row r="11" customFormat="false" ht="15" hidden="false" customHeight="false" outlineLevel="0" collapsed="false">
      <c r="A11" s="41"/>
      <c r="B11" s="41"/>
      <c r="C11" s="13"/>
      <c r="D11" s="41"/>
      <c r="E11" s="41"/>
      <c r="F11" s="41"/>
      <c r="G11" s="42"/>
      <c r="H11" s="41"/>
      <c r="I11" s="41"/>
      <c r="J11" s="42"/>
      <c r="K11" s="13"/>
    </row>
    <row r="12" customFormat="false" ht="15" hidden="false" customHeight="false" outlineLevel="0" collapsed="false">
      <c r="A12" s="41"/>
      <c r="B12" s="41"/>
      <c r="C12" s="13"/>
      <c r="D12" s="41"/>
      <c r="E12" s="41"/>
      <c r="F12" s="41"/>
      <c r="G12" s="42"/>
      <c r="H12" s="41"/>
      <c r="I12" s="41"/>
      <c r="J12" s="42"/>
      <c r="K12" s="13"/>
    </row>
    <row r="13" customFormat="false" ht="15" hidden="false" customHeight="false" outlineLevel="0" collapsed="false">
      <c r="A13" s="41"/>
      <c r="B13" s="41"/>
      <c r="C13" s="13"/>
      <c r="D13" s="41"/>
      <c r="E13" s="41"/>
      <c r="F13" s="41"/>
      <c r="G13" s="42"/>
      <c r="H13" s="41"/>
      <c r="I13" s="41"/>
      <c r="J13" s="42"/>
      <c r="K13" s="13"/>
    </row>
    <row r="14" customFormat="false" ht="15" hidden="false" customHeight="false" outlineLevel="0" collapsed="false">
      <c r="A14" s="41"/>
      <c r="B14" s="41"/>
      <c r="C14" s="13"/>
      <c r="D14" s="41"/>
      <c r="E14" s="41"/>
      <c r="F14" s="41"/>
      <c r="G14" s="42"/>
      <c r="H14" s="41"/>
      <c r="I14" s="41"/>
      <c r="J14" s="42"/>
      <c r="K14" s="13"/>
    </row>
    <row r="15" customFormat="false" ht="15" hidden="false" customHeight="false" outlineLevel="0" collapsed="false">
      <c r="A15" s="41"/>
      <c r="B15" s="41"/>
      <c r="C15" s="13"/>
      <c r="D15" s="41"/>
      <c r="E15" s="41"/>
      <c r="F15" s="41"/>
      <c r="G15" s="42"/>
      <c r="H15" s="41"/>
      <c r="I15" s="41"/>
      <c r="J15" s="42"/>
      <c r="K15" s="13"/>
    </row>
    <row r="16" customFormat="false" ht="15" hidden="false" customHeight="false" outlineLevel="0" collapsed="false">
      <c r="A16" s="41"/>
      <c r="B16" s="41"/>
      <c r="C16" s="13"/>
      <c r="D16" s="41"/>
      <c r="E16" s="41"/>
      <c r="F16" s="41"/>
      <c r="G16" s="42"/>
      <c r="H16" s="41"/>
      <c r="I16" s="41"/>
      <c r="J16" s="42"/>
      <c r="K16" s="13"/>
    </row>
    <row r="17" customFormat="false" ht="15" hidden="false" customHeight="false" outlineLevel="0" collapsed="false">
      <c r="A17" s="41"/>
      <c r="B17" s="41"/>
      <c r="C17" s="13"/>
      <c r="D17" s="41"/>
      <c r="E17" s="41"/>
      <c r="F17" s="41"/>
      <c r="G17" s="42"/>
      <c r="H17" s="41"/>
      <c r="I17" s="41"/>
      <c r="J17" s="42"/>
      <c r="K17" s="13"/>
    </row>
    <row r="18" customFormat="false" ht="15" hidden="false" customHeight="false" outlineLevel="0" collapsed="false">
      <c r="A18" s="41"/>
      <c r="B18" s="41"/>
      <c r="C18" s="13"/>
      <c r="D18" s="41"/>
      <c r="E18" s="41"/>
      <c r="F18" s="41"/>
      <c r="G18" s="42"/>
      <c r="H18" s="41"/>
      <c r="I18" s="41"/>
      <c r="J18" s="42"/>
      <c r="K18" s="13"/>
    </row>
    <row r="19" customFormat="false" ht="15" hidden="false" customHeight="false" outlineLevel="0" collapsed="false">
      <c r="A19" s="41"/>
      <c r="B19" s="41"/>
      <c r="C19" s="13"/>
      <c r="D19" s="41"/>
      <c r="E19" s="41"/>
      <c r="F19" s="41"/>
      <c r="G19" s="42"/>
      <c r="H19" s="41"/>
      <c r="I19" s="41"/>
      <c r="J19" s="42"/>
      <c r="K19" s="13"/>
    </row>
    <row r="20" customFormat="false" ht="15" hidden="false" customHeight="false" outlineLevel="0" collapsed="false">
      <c r="A20" s="41"/>
      <c r="B20" s="41"/>
      <c r="C20" s="13"/>
      <c r="D20" s="41"/>
      <c r="E20" s="41"/>
      <c r="F20" s="41"/>
      <c r="G20" s="42"/>
      <c r="H20" s="41"/>
      <c r="I20" s="41"/>
      <c r="J20" s="42"/>
      <c r="K20" s="13"/>
    </row>
    <row r="21" customFormat="false" ht="15" hidden="false" customHeight="false" outlineLevel="0" collapsed="false">
      <c r="A21" s="41"/>
      <c r="B21" s="41"/>
      <c r="C21" s="13"/>
      <c r="D21" s="41"/>
      <c r="E21" s="41"/>
      <c r="F21" s="41"/>
      <c r="G21" s="42"/>
      <c r="H21" s="41"/>
      <c r="I21" s="41"/>
      <c r="J21" s="42"/>
      <c r="K21" s="13"/>
    </row>
    <row r="22" customFormat="false" ht="15" hidden="false" customHeight="false" outlineLevel="0" collapsed="false">
      <c r="A22" s="41"/>
      <c r="B22" s="41"/>
      <c r="C22" s="13"/>
      <c r="D22" s="41"/>
      <c r="E22" s="41"/>
      <c r="F22" s="41"/>
      <c r="G22" s="42"/>
      <c r="H22" s="41"/>
      <c r="I22" s="41"/>
      <c r="J22" s="42"/>
      <c r="K22" s="13"/>
    </row>
    <row r="23" customFormat="false" ht="15" hidden="false" customHeight="false" outlineLevel="0" collapsed="false">
      <c r="A23" s="41"/>
      <c r="B23" s="41"/>
      <c r="C23" s="13"/>
      <c r="D23" s="41"/>
      <c r="E23" s="41"/>
      <c r="F23" s="41"/>
      <c r="G23" s="42"/>
      <c r="H23" s="41"/>
      <c r="I23" s="41"/>
      <c r="J23" s="42"/>
      <c r="K23" s="13"/>
    </row>
    <row r="24" customFormat="false" ht="15" hidden="false" customHeight="false" outlineLevel="0" collapsed="false">
      <c r="A24" s="41"/>
      <c r="B24" s="41"/>
      <c r="C24" s="13"/>
      <c r="D24" s="41"/>
      <c r="E24" s="41"/>
      <c r="F24" s="41"/>
      <c r="G24" s="42"/>
      <c r="H24" s="41"/>
      <c r="I24" s="41"/>
      <c r="J24" s="42"/>
      <c r="K24" s="13"/>
    </row>
    <row r="25" customFormat="false" ht="15" hidden="false" customHeight="false" outlineLevel="0" collapsed="false">
      <c r="A25" s="41"/>
      <c r="B25" s="41"/>
      <c r="C25" s="13"/>
      <c r="D25" s="41"/>
      <c r="E25" s="41"/>
      <c r="F25" s="41"/>
      <c r="G25" s="42"/>
      <c r="H25" s="41"/>
      <c r="I25" s="41"/>
      <c r="J25" s="42"/>
      <c r="K25" s="13"/>
    </row>
    <row r="26" customFormat="false" ht="15" hidden="false" customHeight="false" outlineLevel="0" collapsed="false">
      <c r="A26" s="41"/>
      <c r="B26" s="41"/>
      <c r="C26" s="13"/>
      <c r="D26" s="41"/>
      <c r="E26" s="41"/>
      <c r="F26" s="41"/>
      <c r="G26" s="42"/>
      <c r="H26" s="41"/>
      <c r="I26" s="41"/>
      <c r="J26" s="42"/>
      <c r="K26" s="13"/>
    </row>
    <row r="27" customFormat="false" ht="15" hidden="false" customHeight="false" outlineLevel="0" collapsed="false">
      <c r="A27" s="41"/>
      <c r="B27" s="41"/>
      <c r="C27" s="13"/>
      <c r="D27" s="41"/>
      <c r="E27" s="41"/>
      <c r="F27" s="41"/>
      <c r="G27" s="42"/>
      <c r="H27" s="41"/>
      <c r="I27" s="41"/>
      <c r="J27" s="42"/>
      <c r="K27" s="13"/>
    </row>
    <row r="28" customFormat="false" ht="15" hidden="false" customHeight="false" outlineLevel="0" collapsed="false">
      <c r="A28" s="41"/>
      <c r="B28" s="41"/>
      <c r="C28" s="13"/>
      <c r="D28" s="41"/>
      <c r="E28" s="41"/>
      <c r="F28" s="41"/>
      <c r="G28" s="42"/>
      <c r="H28" s="41"/>
      <c r="I28" s="41"/>
      <c r="J28" s="42"/>
      <c r="K28" s="13"/>
    </row>
    <row r="29" customFormat="false" ht="15" hidden="false" customHeight="false" outlineLevel="0" collapsed="false">
      <c r="A29" s="41"/>
      <c r="B29" s="41"/>
      <c r="C29" s="13"/>
      <c r="D29" s="41"/>
      <c r="E29" s="41"/>
      <c r="F29" s="41"/>
      <c r="G29" s="42"/>
      <c r="H29" s="41"/>
      <c r="I29" s="41"/>
      <c r="J29" s="42"/>
      <c r="K29" s="13"/>
    </row>
    <row r="30" customFormat="false" ht="15" hidden="false" customHeight="false" outlineLevel="0" collapsed="false">
      <c r="A30" s="41"/>
      <c r="B30" s="41"/>
      <c r="C30" s="13"/>
      <c r="D30" s="41"/>
      <c r="E30" s="41"/>
      <c r="F30" s="41"/>
      <c r="G30" s="42"/>
      <c r="H30" s="41"/>
      <c r="I30" s="41"/>
      <c r="J30" s="42"/>
      <c r="K30" s="13"/>
    </row>
    <row r="31" customFormat="false" ht="15" hidden="false" customHeight="false" outlineLevel="0" collapsed="false">
      <c r="A31" s="41"/>
      <c r="B31" s="41"/>
      <c r="C31" s="13"/>
      <c r="D31" s="41"/>
      <c r="E31" s="41"/>
      <c r="F31" s="41"/>
      <c r="G31" s="42"/>
      <c r="H31" s="41"/>
      <c r="I31" s="41"/>
      <c r="J31" s="42"/>
      <c r="K31" s="13"/>
    </row>
    <row r="32" customFormat="false" ht="15" hidden="false" customHeight="false" outlineLevel="0" collapsed="false">
      <c r="A32" s="41"/>
      <c r="B32" s="41"/>
      <c r="C32" s="13"/>
      <c r="D32" s="41"/>
      <c r="E32" s="41"/>
      <c r="F32" s="41"/>
      <c r="G32" s="42"/>
      <c r="H32" s="41"/>
      <c r="I32" s="41"/>
      <c r="J32" s="42"/>
      <c r="K32" s="13"/>
    </row>
    <row r="33" customFormat="false" ht="15" hidden="false" customHeight="false" outlineLevel="0" collapsed="false">
      <c r="A33" s="41"/>
      <c r="B33" s="41"/>
      <c r="C33" s="13"/>
      <c r="D33" s="41"/>
      <c r="E33" s="41"/>
      <c r="F33" s="41"/>
      <c r="G33" s="42"/>
      <c r="H33" s="41"/>
      <c r="I33" s="41"/>
      <c r="J33" s="42"/>
      <c r="K33" s="13"/>
    </row>
    <row r="34" customFormat="false" ht="15" hidden="false" customHeight="false" outlineLevel="0" collapsed="false">
      <c r="A34" s="41"/>
      <c r="B34" s="41"/>
      <c r="C34" s="13"/>
      <c r="D34" s="41"/>
      <c r="E34" s="41"/>
      <c r="F34" s="41"/>
      <c r="G34" s="42"/>
      <c r="H34" s="41"/>
      <c r="I34" s="41"/>
      <c r="J34" s="42"/>
      <c r="K34" s="13"/>
    </row>
    <row r="35" customFormat="false" ht="15" hidden="false" customHeight="false" outlineLevel="0" collapsed="false">
      <c r="A35" s="41"/>
      <c r="B35" s="41"/>
      <c r="C35" s="13"/>
      <c r="D35" s="41"/>
      <c r="E35" s="41"/>
      <c r="F35" s="41"/>
      <c r="G35" s="42"/>
      <c r="H35" s="41"/>
      <c r="I35" s="41"/>
      <c r="J35" s="42"/>
      <c r="K35" s="13"/>
    </row>
    <row r="36" customFormat="false" ht="15" hidden="false" customHeight="false" outlineLevel="0" collapsed="false">
      <c r="A36" s="41"/>
      <c r="B36" s="41"/>
      <c r="C36" s="13"/>
      <c r="D36" s="41"/>
      <c r="E36" s="41"/>
      <c r="F36" s="41"/>
      <c r="G36" s="42"/>
      <c r="H36" s="41"/>
      <c r="I36" s="41"/>
      <c r="J36" s="42"/>
      <c r="K36" s="13"/>
    </row>
    <row r="37" customFormat="false" ht="15" hidden="false" customHeight="false" outlineLevel="0" collapsed="false">
      <c r="A37" s="41"/>
      <c r="B37" s="41"/>
      <c r="C37" s="13"/>
      <c r="D37" s="41"/>
      <c r="E37" s="41"/>
      <c r="F37" s="41"/>
      <c r="G37" s="42"/>
      <c r="H37" s="41"/>
      <c r="I37" s="41"/>
      <c r="J37" s="42"/>
      <c r="K37" s="13"/>
    </row>
    <row r="38" customFormat="false" ht="15" hidden="false" customHeight="false" outlineLevel="0" collapsed="false">
      <c r="A38" s="41"/>
      <c r="B38" s="41"/>
      <c r="C38" s="13"/>
      <c r="D38" s="41"/>
      <c r="E38" s="41"/>
      <c r="F38" s="41"/>
      <c r="G38" s="42"/>
      <c r="H38" s="41"/>
      <c r="I38" s="41"/>
      <c r="J38" s="42"/>
      <c r="K38" s="13"/>
    </row>
    <row r="39" customFormat="false" ht="15" hidden="false" customHeight="false" outlineLevel="0" collapsed="false">
      <c r="A39" s="41"/>
      <c r="B39" s="41"/>
      <c r="C39" s="13"/>
      <c r="D39" s="41"/>
      <c r="E39" s="41"/>
      <c r="F39" s="41"/>
      <c r="G39" s="42"/>
      <c r="H39" s="41"/>
      <c r="I39" s="41"/>
      <c r="J39" s="42"/>
      <c r="K39" s="13"/>
    </row>
    <row r="40" customFormat="false" ht="15" hidden="false" customHeight="false" outlineLevel="0" collapsed="false">
      <c r="A40" s="41"/>
      <c r="B40" s="41"/>
      <c r="C40" s="13"/>
      <c r="D40" s="41"/>
      <c r="E40" s="41"/>
      <c r="F40" s="41"/>
      <c r="G40" s="42"/>
      <c r="H40" s="41"/>
      <c r="I40" s="41"/>
      <c r="J40" s="42"/>
      <c r="K40" s="13"/>
    </row>
    <row r="41" customFormat="false" ht="15" hidden="false" customHeight="false" outlineLevel="0" collapsed="false">
      <c r="A41" s="41"/>
      <c r="B41" s="41"/>
      <c r="C41" s="13"/>
      <c r="D41" s="41"/>
      <c r="E41" s="41"/>
      <c r="F41" s="41"/>
      <c r="G41" s="42"/>
      <c r="H41" s="41"/>
      <c r="I41" s="41"/>
      <c r="J41" s="42"/>
      <c r="K41" s="13"/>
    </row>
    <row r="42" customFormat="false" ht="15" hidden="false" customHeight="false" outlineLevel="0" collapsed="false">
      <c r="A42" s="41"/>
      <c r="B42" s="41"/>
      <c r="C42" s="13"/>
      <c r="D42" s="41"/>
      <c r="E42" s="41"/>
      <c r="F42" s="41"/>
      <c r="G42" s="42"/>
      <c r="H42" s="41"/>
      <c r="I42" s="41"/>
      <c r="J42" s="42"/>
      <c r="K42" s="13"/>
    </row>
    <row r="43" customFormat="false" ht="15" hidden="false" customHeight="false" outlineLevel="0" collapsed="false">
      <c r="A43" s="41"/>
      <c r="B43" s="41"/>
      <c r="C43" s="13"/>
      <c r="D43" s="41"/>
      <c r="E43" s="41"/>
      <c r="F43" s="41"/>
      <c r="G43" s="42"/>
      <c r="H43" s="41"/>
      <c r="I43" s="41"/>
      <c r="J43" s="42"/>
      <c r="K43" s="13"/>
    </row>
    <row r="44" customFormat="false" ht="15" hidden="false" customHeight="false" outlineLevel="0" collapsed="false">
      <c r="A44" s="41"/>
      <c r="B44" s="41"/>
      <c r="C44" s="13"/>
      <c r="D44" s="41"/>
      <c r="E44" s="41"/>
      <c r="F44" s="41"/>
      <c r="G44" s="42"/>
      <c r="H44" s="41"/>
      <c r="I44" s="41"/>
      <c r="J44" s="42"/>
      <c r="K44" s="13"/>
    </row>
    <row r="45" customFormat="false" ht="15" hidden="false" customHeight="false" outlineLevel="0" collapsed="false">
      <c r="A45" s="41"/>
      <c r="B45" s="41"/>
      <c r="C45" s="13"/>
      <c r="D45" s="41"/>
      <c r="E45" s="41"/>
      <c r="F45" s="41"/>
      <c r="G45" s="42"/>
      <c r="H45" s="41"/>
      <c r="I45" s="41"/>
      <c r="J45" s="42"/>
      <c r="K45" s="13"/>
    </row>
    <row r="46" customFormat="false" ht="15" hidden="false" customHeight="false" outlineLevel="0" collapsed="false">
      <c r="A46" s="41"/>
      <c r="B46" s="41"/>
      <c r="C46" s="13"/>
      <c r="D46" s="41"/>
      <c r="E46" s="41"/>
      <c r="F46" s="41"/>
      <c r="G46" s="42"/>
      <c r="H46" s="41"/>
      <c r="I46" s="41"/>
      <c r="J46" s="42"/>
      <c r="K46" s="13"/>
    </row>
    <row r="47" customFormat="false" ht="15" hidden="false" customHeight="false" outlineLevel="0" collapsed="false">
      <c r="A47" s="41"/>
      <c r="B47" s="41"/>
      <c r="C47" s="13"/>
      <c r="D47" s="41"/>
      <c r="E47" s="41"/>
      <c r="F47" s="41"/>
      <c r="G47" s="42"/>
      <c r="H47" s="41"/>
      <c r="I47" s="41"/>
      <c r="J47" s="42"/>
      <c r="K47" s="13"/>
    </row>
    <row r="48" customFormat="false" ht="15" hidden="false" customHeight="false" outlineLevel="0" collapsed="false">
      <c r="A48" s="41"/>
      <c r="B48" s="41"/>
      <c r="C48" s="13"/>
      <c r="D48" s="41"/>
      <c r="E48" s="41"/>
      <c r="F48" s="41"/>
      <c r="G48" s="42"/>
      <c r="H48" s="41"/>
      <c r="I48" s="41"/>
      <c r="J48" s="42"/>
      <c r="K48" s="13"/>
    </row>
    <row r="49" customFormat="false" ht="15" hidden="false" customHeight="false" outlineLevel="0" collapsed="false">
      <c r="A49" s="41"/>
      <c r="B49" s="41"/>
      <c r="C49" s="13"/>
      <c r="D49" s="41"/>
      <c r="E49" s="41"/>
      <c r="F49" s="41"/>
      <c r="G49" s="42"/>
      <c r="H49" s="41"/>
      <c r="I49" s="41"/>
      <c r="J49" s="42"/>
      <c r="K49" s="13"/>
    </row>
    <row r="50" customFormat="false" ht="15" hidden="false" customHeight="false" outlineLevel="0" collapsed="false">
      <c r="A50" s="41"/>
      <c r="B50" s="41"/>
      <c r="C50" s="13"/>
      <c r="D50" s="41"/>
      <c r="E50" s="41"/>
      <c r="F50" s="41"/>
      <c r="G50" s="42"/>
      <c r="H50" s="41"/>
      <c r="I50" s="41"/>
      <c r="J50" s="42"/>
      <c r="K50" s="13"/>
    </row>
    <row r="51" customFormat="false" ht="15" hidden="false" customHeight="false" outlineLevel="0" collapsed="false">
      <c r="A51" s="41"/>
      <c r="B51" s="41"/>
      <c r="C51" s="13"/>
      <c r="D51" s="41"/>
      <c r="E51" s="41"/>
      <c r="F51" s="41"/>
      <c r="G51" s="42"/>
      <c r="H51" s="41"/>
      <c r="I51" s="41"/>
      <c r="J51" s="42"/>
      <c r="K51" s="13"/>
    </row>
    <row r="52" customFormat="false" ht="15" hidden="false" customHeight="false" outlineLevel="0" collapsed="false">
      <c r="A52" s="41"/>
      <c r="B52" s="41"/>
      <c r="C52" s="13"/>
      <c r="D52" s="41"/>
      <c r="E52" s="41"/>
      <c r="F52" s="41"/>
      <c r="G52" s="42"/>
      <c r="H52" s="41"/>
      <c r="I52" s="41"/>
      <c r="J52" s="42"/>
      <c r="K52" s="13"/>
    </row>
    <row r="53" customFormat="false" ht="15" hidden="false" customHeight="false" outlineLevel="0" collapsed="false">
      <c r="A53" s="41"/>
      <c r="B53" s="41"/>
      <c r="C53" s="13"/>
      <c r="D53" s="41"/>
      <c r="E53" s="41"/>
      <c r="F53" s="41"/>
      <c r="G53" s="42"/>
      <c r="H53" s="41"/>
      <c r="I53" s="41"/>
      <c r="J53" s="42"/>
      <c r="K53" s="13"/>
    </row>
    <row r="54" customFormat="false" ht="15" hidden="false" customHeight="false" outlineLevel="0" collapsed="false">
      <c r="A54" s="41"/>
      <c r="B54" s="41"/>
      <c r="C54" s="13"/>
      <c r="D54" s="41"/>
      <c r="E54" s="41"/>
      <c r="F54" s="41"/>
      <c r="G54" s="42"/>
      <c r="H54" s="41"/>
      <c r="I54" s="41"/>
      <c r="J54" s="42"/>
      <c r="K54" s="13"/>
    </row>
    <row r="55" customFormat="false" ht="15" hidden="false" customHeight="false" outlineLevel="0" collapsed="false">
      <c r="A55" s="41"/>
      <c r="B55" s="41"/>
      <c r="C55" s="13"/>
      <c r="D55" s="41"/>
      <c r="E55" s="41"/>
      <c r="F55" s="41"/>
      <c r="G55" s="42"/>
      <c r="H55" s="41"/>
      <c r="I55" s="41"/>
      <c r="J55" s="42"/>
      <c r="K55" s="13"/>
    </row>
    <row r="56" customFormat="false" ht="15" hidden="false" customHeight="false" outlineLevel="0" collapsed="false">
      <c r="A56" s="41"/>
      <c r="B56" s="41"/>
      <c r="C56" s="13"/>
      <c r="D56" s="41"/>
      <c r="E56" s="41"/>
      <c r="F56" s="41"/>
      <c r="G56" s="42"/>
      <c r="H56" s="41"/>
      <c r="I56" s="41"/>
      <c r="J56" s="42"/>
      <c r="K56" s="13"/>
    </row>
    <row r="57" customFormat="false" ht="15" hidden="false" customHeight="false" outlineLevel="0" collapsed="false">
      <c r="A57" s="41"/>
      <c r="B57" s="41"/>
      <c r="C57" s="13"/>
      <c r="D57" s="41"/>
      <c r="E57" s="41"/>
      <c r="F57" s="41"/>
      <c r="G57" s="42"/>
      <c r="H57" s="41"/>
      <c r="I57" s="41"/>
      <c r="J57" s="42"/>
      <c r="K57" s="13"/>
    </row>
    <row r="58" customFormat="false" ht="15" hidden="false" customHeight="false" outlineLevel="0" collapsed="false">
      <c r="A58" s="41"/>
      <c r="B58" s="41"/>
      <c r="C58" s="13"/>
      <c r="D58" s="41"/>
      <c r="E58" s="41"/>
      <c r="F58" s="41"/>
      <c r="G58" s="42"/>
      <c r="H58" s="41"/>
      <c r="I58" s="41"/>
      <c r="J58" s="42"/>
      <c r="K58" s="13"/>
    </row>
    <row r="59" customFormat="false" ht="15" hidden="false" customHeight="false" outlineLevel="0" collapsed="false">
      <c r="A59" s="41"/>
      <c r="B59" s="41"/>
      <c r="C59" s="13"/>
      <c r="D59" s="41"/>
      <c r="E59" s="41"/>
      <c r="F59" s="41"/>
      <c r="G59" s="42"/>
      <c r="H59" s="41"/>
      <c r="I59" s="41"/>
      <c r="J59" s="42"/>
      <c r="K59" s="13"/>
    </row>
    <row r="60" customFormat="false" ht="15" hidden="false" customHeight="false" outlineLevel="0" collapsed="false">
      <c r="A60" s="41"/>
      <c r="B60" s="41"/>
      <c r="C60" s="13"/>
      <c r="D60" s="41"/>
      <c r="E60" s="41"/>
      <c r="F60" s="41"/>
      <c r="G60" s="42"/>
      <c r="H60" s="41"/>
      <c r="I60" s="41"/>
      <c r="J60" s="42"/>
      <c r="K60" s="13"/>
    </row>
    <row r="61" customFormat="false" ht="15" hidden="false" customHeight="false" outlineLevel="0" collapsed="false">
      <c r="A61" s="41"/>
      <c r="B61" s="41"/>
      <c r="C61" s="13"/>
      <c r="D61" s="41"/>
      <c r="E61" s="41"/>
      <c r="F61" s="41"/>
      <c r="G61" s="42"/>
      <c r="H61" s="41"/>
      <c r="I61" s="41"/>
      <c r="J61" s="42"/>
      <c r="K61" s="13"/>
    </row>
    <row r="62" customFormat="false" ht="15" hidden="false" customHeight="false" outlineLevel="0" collapsed="false">
      <c r="A62" s="41"/>
      <c r="B62" s="41"/>
      <c r="C62" s="13"/>
      <c r="D62" s="41"/>
      <c r="E62" s="41"/>
      <c r="F62" s="41"/>
      <c r="G62" s="42"/>
      <c r="H62" s="41"/>
      <c r="I62" s="41"/>
      <c r="J62" s="42"/>
      <c r="K62" s="13"/>
    </row>
    <row r="63" customFormat="false" ht="15" hidden="false" customHeight="false" outlineLevel="0" collapsed="false">
      <c r="A63" s="41"/>
      <c r="B63" s="41"/>
      <c r="C63" s="13"/>
      <c r="D63" s="41"/>
      <c r="E63" s="41"/>
      <c r="F63" s="41"/>
      <c r="G63" s="42"/>
      <c r="H63" s="41"/>
      <c r="I63" s="41"/>
      <c r="J63" s="42"/>
      <c r="K63" s="13"/>
    </row>
    <row r="64" customFormat="false" ht="15" hidden="false" customHeight="false" outlineLevel="0" collapsed="false">
      <c r="A64" s="41"/>
      <c r="B64" s="41"/>
      <c r="C64" s="13"/>
      <c r="D64" s="41"/>
      <c r="E64" s="41"/>
      <c r="F64" s="41"/>
      <c r="G64" s="42"/>
      <c r="H64" s="41"/>
      <c r="I64" s="41"/>
      <c r="J64" s="42"/>
      <c r="K64" s="13"/>
    </row>
    <row r="65" customFormat="false" ht="15" hidden="false" customHeight="false" outlineLevel="0" collapsed="false">
      <c r="A65" s="41"/>
      <c r="B65" s="41"/>
      <c r="C65" s="13"/>
      <c r="D65" s="41"/>
      <c r="E65" s="41"/>
      <c r="F65" s="41"/>
      <c r="G65" s="42"/>
      <c r="H65" s="41"/>
      <c r="I65" s="41"/>
      <c r="J65" s="42"/>
      <c r="K65" s="13"/>
    </row>
    <row r="66" customFormat="false" ht="15" hidden="false" customHeight="false" outlineLevel="0" collapsed="false">
      <c r="A66" s="41"/>
      <c r="B66" s="41"/>
      <c r="C66" s="13"/>
      <c r="D66" s="41"/>
      <c r="E66" s="41"/>
      <c r="F66" s="41"/>
      <c r="G66" s="42"/>
      <c r="H66" s="41"/>
      <c r="I66" s="41"/>
      <c r="J66" s="42"/>
      <c r="K66" s="13"/>
    </row>
    <row r="67" customFormat="false" ht="15" hidden="false" customHeight="false" outlineLevel="0" collapsed="false">
      <c r="A67" s="41"/>
      <c r="B67" s="41"/>
      <c r="C67" s="13"/>
      <c r="D67" s="41"/>
      <c r="E67" s="41"/>
      <c r="F67" s="41"/>
      <c r="G67" s="42"/>
      <c r="H67" s="41"/>
      <c r="I67" s="41"/>
      <c r="J67" s="42"/>
      <c r="K67" s="13"/>
    </row>
    <row r="68" customFormat="false" ht="15" hidden="false" customHeight="false" outlineLevel="0" collapsed="false">
      <c r="A68" s="41"/>
      <c r="B68" s="41"/>
      <c r="C68" s="13"/>
      <c r="D68" s="41"/>
      <c r="E68" s="41"/>
      <c r="F68" s="41"/>
      <c r="G68" s="42"/>
      <c r="H68" s="41"/>
      <c r="I68" s="41"/>
      <c r="J68" s="42"/>
      <c r="K68" s="13"/>
    </row>
    <row r="69" customFormat="false" ht="15" hidden="false" customHeight="false" outlineLevel="0" collapsed="false">
      <c r="A69" s="41"/>
      <c r="B69" s="41"/>
      <c r="C69" s="13"/>
      <c r="D69" s="41"/>
      <c r="E69" s="41"/>
      <c r="F69" s="41"/>
      <c r="G69" s="42"/>
      <c r="H69" s="41"/>
      <c r="I69" s="41"/>
      <c r="J69" s="42"/>
      <c r="K69" s="13"/>
    </row>
    <row r="70" customFormat="false" ht="15" hidden="false" customHeight="false" outlineLevel="0" collapsed="false">
      <c r="A70" s="41"/>
      <c r="B70" s="41"/>
      <c r="C70" s="13"/>
      <c r="D70" s="41"/>
      <c r="E70" s="41"/>
      <c r="F70" s="41"/>
      <c r="G70" s="42"/>
      <c r="H70" s="41"/>
      <c r="I70" s="41"/>
      <c r="J70" s="42"/>
      <c r="K70" s="13"/>
    </row>
    <row r="71" customFormat="false" ht="15" hidden="false" customHeight="false" outlineLevel="0" collapsed="false">
      <c r="A71" s="41"/>
      <c r="B71" s="41"/>
      <c r="C71" s="13"/>
      <c r="D71" s="41"/>
      <c r="E71" s="41"/>
      <c r="F71" s="41"/>
      <c r="G71" s="42"/>
      <c r="H71" s="41"/>
      <c r="I71" s="41"/>
      <c r="J71" s="42"/>
      <c r="K71" s="13"/>
    </row>
    <row r="72" customFormat="false" ht="15" hidden="false" customHeight="false" outlineLevel="0" collapsed="false">
      <c r="A72" s="41"/>
      <c r="B72" s="41"/>
      <c r="C72" s="13"/>
      <c r="D72" s="41"/>
      <c r="E72" s="41"/>
      <c r="F72" s="41"/>
      <c r="G72" s="42"/>
      <c r="H72" s="41"/>
      <c r="I72" s="41"/>
      <c r="J72" s="42"/>
      <c r="K72" s="13"/>
    </row>
    <row r="73" customFormat="false" ht="15" hidden="false" customHeight="false" outlineLevel="0" collapsed="false">
      <c r="A73" s="41"/>
      <c r="B73" s="41"/>
      <c r="C73" s="13"/>
      <c r="D73" s="41"/>
      <c r="E73" s="41"/>
      <c r="F73" s="41"/>
      <c r="G73" s="42"/>
      <c r="H73" s="41"/>
      <c r="I73" s="41"/>
      <c r="J73" s="42"/>
      <c r="K73" s="13"/>
    </row>
    <row r="74" customFormat="false" ht="15" hidden="false" customHeight="false" outlineLevel="0" collapsed="false">
      <c r="A74" s="41"/>
      <c r="B74" s="41"/>
      <c r="C74" s="13"/>
      <c r="D74" s="41"/>
      <c r="E74" s="41"/>
      <c r="F74" s="41"/>
      <c r="G74" s="42"/>
      <c r="H74" s="41"/>
      <c r="I74" s="41"/>
      <c r="J74" s="42"/>
      <c r="K74" s="13"/>
    </row>
    <row r="75" customFormat="false" ht="15" hidden="false" customHeight="false" outlineLevel="0" collapsed="false">
      <c r="A75" s="41"/>
      <c r="B75" s="41"/>
      <c r="C75" s="13"/>
      <c r="D75" s="41"/>
      <c r="E75" s="41"/>
      <c r="F75" s="41"/>
      <c r="G75" s="42"/>
      <c r="H75" s="41"/>
      <c r="I75" s="41"/>
      <c r="J75" s="42"/>
      <c r="K75" s="13"/>
    </row>
    <row r="76" customFormat="false" ht="15" hidden="false" customHeight="false" outlineLevel="0" collapsed="false">
      <c r="A76" s="41"/>
      <c r="B76" s="41"/>
      <c r="C76" s="13"/>
      <c r="D76" s="41"/>
      <c r="E76" s="41"/>
      <c r="F76" s="41"/>
      <c r="G76" s="42"/>
      <c r="H76" s="41"/>
      <c r="I76" s="41"/>
      <c r="J76" s="42"/>
      <c r="K76" s="13"/>
    </row>
    <row r="77" customFormat="false" ht="15" hidden="false" customHeight="false" outlineLevel="0" collapsed="false">
      <c r="A77" s="41"/>
      <c r="B77" s="41"/>
      <c r="C77" s="13"/>
      <c r="D77" s="41"/>
      <c r="E77" s="41"/>
      <c r="F77" s="41"/>
      <c r="G77" s="42"/>
      <c r="H77" s="41"/>
      <c r="I77" s="41"/>
      <c r="J77" s="42"/>
      <c r="K77" s="13"/>
    </row>
    <row r="78" customFormat="false" ht="15" hidden="false" customHeight="false" outlineLevel="0" collapsed="false">
      <c r="A78" s="41"/>
      <c r="B78" s="41"/>
      <c r="C78" s="13"/>
      <c r="D78" s="41"/>
      <c r="E78" s="41"/>
      <c r="F78" s="41"/>
      <c r="G78" s="42"/>
      <c r="H78" s="41"/>
      <c r="I78" s="41"/>
      <c r="J78" s="42"/>
      <c r="K78" s="13"/>
    </row>
    <row r="79" customFormat="false" ht="15" hidden="false" customHeight="false" outlineLevel="0" collapsed="false">
      <c r="A79" s="41"/>
      <c r="B79" s="41"/>
      <c r="C79" s="13"/>
      <c r="D79" s="41"/>
      <c r="E79" s="41"/>
      <c r="F79" s="41"/>
      <c r="G79" s="42"/>
      <c r="H79" s="41"/>
      <c r="I79" s="41"/>
      <c r="J79" s="42"/>
      <c r="K79" s="13"/>
    </row>
    <row r="80" customFormat="false" ht="15" hidden="false" customHeight="false" outlineLevel="0" collapsed="false">
      <c r="A80" s="41"/>
      <c r="B80" s="41"/>
      <c r="C80" s="13"/>
      <c r="D80" s="41"/>
      <c r="E80" s="41"/>
      <c r="F80" s="41"/>
      <c r="G80" s="42"/>
      <c r="H80" s="41"/>
      <c r="I80" s="41"/>
      <c r="J80" s="42"/>
      <c r="K80" s="13"/>
    </row>
    <row r="81" customFormat="false" ht="15" hidden="false" customHeight="false" outlineLevel="0" collapsed="false">
      <c r="A81" s="41"/>
      <c r="B81" s="41"/>
      <c r="C81" s="13"/>
      <c r="D81" s="41"/>
      <c r="E81" s="41"/>
      <c r="F81" s="41"/>
      <c r="G81" s="42"/>
      <c r="H81" s="41"/>
      <c r="I81" s="41"/>
      <c r="J81" s="42"/>
      <c r="K81" s="13"/>
    </row>
    <row r="82" customFormat="false" ht="15" hidden="false" customHeight="false" outlineLevel="0" collapsed="false">
      <c r="A82" s="41"/>
      <c r="B82" s="41"/>
      <c r="C82" s="13"/>
      <c r="D82" s="41"/>
      <c r="E82" s="41"/>
      <c r="F82" s="41"/>
      <c r="G82" s="42"/>
      <c r="H82" s="41"/>
      <c r="I82" s="41"/>
      <c r="J82" s="42"/>
      <c r="K82" s="13"/>
    </row>
    <row r="83" customFormat="false" ht="15" hidden="false" customHeight="false" outlineLevel="0" collapsed="false">
      <c r="A83" s="41"/>
      <c r="B83" s="41"/>
      <c r="C83" s="13"/>
      <c r="D83" s="41"/>
      <c r="E83" s="41"/>
      <c r="F83" s="41"/>
      <c r="G83" s="42"/>
      <c r="H83" s="41"/>
      <c r="I83" s="41"/>
      <c r="J83" s="42"/>
      <c r="K83" s="13"/>
    </row>
    <row r="84" customFormat="false" ht="15" hidden="false" customHeight="false" outlineLevel="0" collapsed="false">
      <c r="A84" s="41"/>
      <c r="B84" s="41"/>
      <c r="C84" s="13"/>
      <c r="D84" s="41"/>
      <c r="E84" s="41"/>
      <c r="F84" s="41"/>
      <c r="G84" s="42"/>
      <c r="H84" s="41"/>
      <c r="I84" s="41"/>
      <c r="J84" s="42"/>
      <c r="K84" s="13"/>
    </row>
    <row r="85" customFormat="false" ht="15" hidden="false" customHeight="false" outlineLevel="0" collapsed="false">
      <c r="A85" s="41"/>
      <c r="B85" s="41"/>
      <c r="C85" s="13"/>
      <c r="D85" s="41"/>
      <c r="E85" s="41"/>
      <c r="F85" s="41"/>
      <c r="G85" s="42"/>
      <c r="H85" s="41"/>
      <c r="I85" s="41"/>
      <c r="J85" s="42"/>
      <c r="K85" s="13"/>
    </row>
    <row r="86" customFormat="false" ht="15" hidden="false" customHeight="false" outlineLevel="0" collapsed="false">
      <c r="A86" s="41"/>
      <c r="B86" s="41"/>
      <c r="C86" s="13"/>
      <c r="D86" s="41"/>
      <c r="E86" s="41"/>
      <c r="F86" s="41"/>
      <c r="G86" s="42"/>
      <c r="H86" s="41"/>
      <c r="I86" s="41"/>
      <c r="J86" s="42"/>
      <c r="K86" s="13"/>
    </row>
    <row r="87" customFormat="false" ht="15" hidden="false" customHeight="false" outlineLevel="0" collapsed="false">
      <c r="A87" s="41"/>
      <c r="B87" s="41"/>
      <c r="C87" s="13"/>
      <c r="D87" s="41"/>
      <c r="E87" s="41"/>
      <c r="F87" s="41"/>
      <c r="G87" s="42"/>
      <c r="H87" s="41"/>
      <c r="I87" s="41"/>
      <c r="J87" s="42"/>
      <c r="K87" s="13"/>
    </row>
    <row r="88" customFormat="false" ht="15" hidden="false" customHeight="false" outlineLevel="0" collapsed="false">
      <c r="A88" s="41"/>
      <c r="B88" s="41"/>
      <c r="C88" s="13"/>
      <c r="D88" s="41"/>
      <c r="E88" s="41"/>
      <c r="F88" s="41"/>
      <c r="G88" s="42"/>
      <c r="H88" s="41"/>
      <c r="I88" s="41"/>
      <c r="J88" s="42"/>
      <c r="K88" s="13"/>
    </row>
    <row r="89" customFormat="false" ht="15" hidden="false" customHeight="false" outlineLevel="0" collapsed="false">
      <c r="A89" s="41"/>
      <c r="B89" s="41"/>
      <c r="C89" s="13"/>
      <c r="D89" s="41"/>
      <c r="E89" s="41"/>
      <c r="F89" s="41"/>
      <c r="G89" s="42"/>
      <c r="H89" s="41"/>
      <c r="I89" s="41"/>
      <c r="J89" s="42"/>
      <c r="K89" s="13"/>
    </row>
    <row r="90" customFormat="false" ht="15" hidden="false" customHeight="false" outlineLevel="0" collapsed="false">
      <c r="A90" s="41"/>
      <c r="B90" s="41"/>
      <c r="C90" s="13"/>
      <c r="D90" s="41"/>
      <c r="E90" s="41"/>
      <c r="F90" s="41"/>
      <c r="G90" s="42"/>
      <c r="H90" s="41"/>
      <c r="I90" s="41"/>
      <c r="J90" s="42"/>
      <c r="K90" s="13"/>
    </row>
    <row r="91" customFormat="false" ht="15" hidden="false" customHeight="false" outlineLevel="0" collapsed="false">
      <c r="A91" s="41"/>
      <c r="B91" s="41"/>
      <c r="C91" s="13"/>
      <c r="D91" s="41"/>
      <c r="E91" s="41"/>
      <c r="F91" s="41"/>
      <c r="G91" s="42"/>
      <c r="H91" s="41"/>
      <c r="I91" s="41"/>
      <c r="J91" s="42"/>
      <c r="K91" s="13"/>
    </row>
    <row r="92" customFormat="false" ht="15" hidden="false" customHeight="false" outlineLevel="0" collapsed="false">
      <c r="A92" s="41"/>
      <c r="B92" s="41"/>
      <c r="C92" s="13"/>
      <c r="D92" s="41"/>
      <c r="E92" s="41"/>
      <c r="F92" s="41"/>
      <c r="G92" s="42"/>
      <c r="H92" s="41"/>
      <c r="I92" s="41"/>
      <c r="J92" s="42"/>
      <c r="K92" s="13"/>
    </row>
    <row r="93" customFormat="false" ht="15" hidden="false" customHeight="false" outlineLevel="0" collapsed="false">
      <c r="A93" s="41"/>
      <c r="B93" s="41"/>
      <c r="C93" s="13"/>
      <c r="D93" s="41"/>
      <c r="E93" s="41"/>
      <c r="F93" s="41"/>
      <c r="G93" s="42"/>
      <c r="H93" s="41"/>
      <c r="I93" s="41"/>
      <c r="J93" s="42"/>
      <c r="K93" s="13"/>
    </row>
    <row r="94" customFormat="false" ht="15" hidden="false" customHeight="false" outlineLevel="0" collapsed="false">
      <c r="A94" s="41"/>
      <c r="B94" s="41"/>
      <c r="C94" s="13"/>
      <c r="D94" s="41"/>
      <c r="E94" s="41"/>
      <c r="F94" s="41"/>
      <c r="G94" s="42"/>
      <c r="H94" s="41"/>
      <c r="I94" s="41"/>
      <c r="J94" s="42"/>
      <c r="K94" s="13"/>
    </row>
    <row r="95" customFormat="false" ht="15" hidden="false" customHeight="false" outlineLevel="0" collapsed="false">
      <c r="A95" s="41"/>
      <c r="B95" s="41"/>
      <c r="C95" s="13"/>
      <c r="D95" s="41"/>
      <c r="E95" s="41"/>
      <c r="F95" s="41"/>
      <c r="G95" s="42"/>
      <c r="H95" s="41"/>
      <c r="I95" s="41"/>
      <c r="J95" s="42"/>
      <c r="K95" s="13"/>
    </row>
    <row r="96" customFormat="false" ht="15" hidden="false" customHeight="false" outlineLevel="0" collapsed="false">
      <c r="A96" s="41"/>
      <c r="B96" s="41"/>
      <c r="C96" s="13"/>
      <c r="D96" s="41"/>
      <c r="E96" s="41"/>
      <c r="F96" s="41"/>
      <c r="G96" s="42"/>
      <c r="H96" s="41"/>
      <c r="I96" s="41"/>
      <c r="J96" s="42"/>
      <c r="K96" s="13"/>
    </row>
    <row r="97" customFormat="false" ht="15" hidden="false" customHeight="false" outlineLevel="0" collapsed="false">
      <c r="A97" s="41"/>
      <c r="B97" s="41"/>
      <c r="C97" s="13"/>
      <c r="D97" s="41"/>
      <c r="E97" s="41"/>
      <c r="F97" s="41"/>
      <c r="G97" s="42"/>
      <c r="H97" s="41"/>
      <c r="I97" s="41"/>
      <c r="J97" s="42"/>
      <c r="K97" s="13"/>
    </row>
    <row r="98" customFormat="false" ht="15" hidden="false" customHeight="false" outlineLevel="0" collapsed="false">
      <c r="A98" s="41"/>
      <c r="B98" s="41"/>
      <c r="C98" s="13"/>
      <c r="D98" s="41"/>
      <c r="E98" s="41"/>
      <c r="F98" s="41"/>
      <c r="G98" s="42"/>
      <c r="H98" s="41"/>
      <c r="I98" s="41"/>
      <c r="J98" s="42"/>
      <c r="K98" s="13"/>
    </row>
    <row r="99" customFormat="false" ht="15" hidden="false" customHeight="false" outlineLevel="0" collapsed="false">
      <c r="A99" s="41"/>
      <c r="B99" s="41"/>
      <c r="C99" s="13"/>
      <c r="D99" s="41"/>
      <c r="E99" s="41"/>
      <c r="F99" s="41"/>
      <c r="G99" s="42"/>
      <c r="H99" s="41"/>
      <c r="I99" s="41"/>
      <c r="J99" s="42"/>
      <c r="K99" s="13"/>
    </row>
    <row r="100" customFormat="false" ht="15" hidden="false" customHeight="false" outlineLevel="0" collapsed="false">
      <c r="A100" s="41"/>
      <c r="B100" s="41"/>
      <c r="C100" s="13"/>
      <c r="D100" s="41"/>
      <c r="E100" s="41"/>
      <c r="F100" s="41"/>
      <c r="G100" s="42"/>
      <c r="H100" s="41"/>
      <c r="I100" s="41"/>
      <c r="J100" s="42"/>
      <c r="K100" s="13"/>
    </row>
    <row r="101" customFormat="false" ht="15" hidden="false" customHeight="false" outlineLevel="0" collapsed="false">
      <c r="A101" s="41"/>
      <c r="B101" s="41"/>
      <c r="C101" s="13"/>
      <c r="D101" s="41"/>
      <c r="E101" s="41"/>
      <c r="F101" s="41"/>
      <c r="G101" s="42"/>
      <c r="H101" s="41"/>
      <c r="I101" s="41"/>
      <c r="J101" s="42"/>
      <c r="K101" s="13"/>
    </row>
    <row r="102" customFormat="false" ht="15" hidden="false" customHeight="false" outlineLevel="0" collapsed="false">
      <c r="A102" s="41"/>
      <c r="B102" s="41"/>
      <c r="C102" s="13"/>
      <c r="D102" s="41"/>
      <c r="E102" s="41"/>
      <c r="F102" s="41"/>
      <c r="G102" s="42"/>
      <c r="H102" s="41"/>
      <c r="I102" s="41"/>
      <c r="J102" s="42"/>
      <c r="K102" s="13"/>
    </row>
    <row r="103" customFormat="false" ht="15" hidden="false" customHeight="false" outlineLevel="0" collapsed="false">
      <c r="A103" s="41"/>
      <c r="B103" s="41"/>
      <c r="C103" s="13"/>
      <c r="D103" s="41"/>
      <c r="E103" s="41"/>
      <c r="F103" s="41"/>
      <c r="G103" s="42"/>
      <c r="H103" s="41"/>
      <c r="I103" s="41"/>
      <c r="J103" s="42"/>
      <c r="K103" s="13"/>
    </row>
    <row r="104" customFormat="false" ht="15" hidden="false" customHeight="false" outlineLevel="0" collapsed="false">
      <c r="A104" s="41"/>
      <c r="B104" s="41"/>
      <c r="C104" s="13"/>
      <c r="D104" s="41"/>
      <c r="E104" s="41"/>
      <c r="F104" s="41"/>
      <c r="G104" s="42"/>
      <c r="H104" s="41"/>
      <c r="I104" s="41"/>
      <c r="J104" s="42"/>
      <c r="K104" s="13"/>
    </row>
    <row r="105" customFormat="false" ht="15" hidden="false" customHeight="false" outlineLevel="0" collapsed="false">
      <c r="A105" s="41"/>
      <c r="B105" s="41"/>
      <c r="C105" s="13"/>
      <c r="D105" s="41"/>
      <c r="E105" s="41"/>
      <c r="F105" s="41"/>
      <c r="G105" s="42"/>
      <c r="H105" s="41"/>
      <c r="I105" s="41"/>
      <c r="J105" s="42"/>
      <c r="K105" s="13"/>
    </row>
    <row r="106" customFormat="false" ht="15" hidden="false" customHeight="false" outlineLevel="0" collapsed="false">
      <c r="A106" s="41"/>
      <c r="B106" s="41"/>
      <c r="C106" s="13"/>
      <c r="D106" s="41"/>
      <c r="E106" s="41"/>
      <c r="F106" s="41"/>
      <c r="G106" s="42"/>
      <c r="H106" s="41"/>
      <c r="I106" s="41"/>
      <c r="J106" s="42"/>
      <c r="K106" s="13"/>
    </row>
    <row r="107" customFormat="false" ht="15" hidden="false" customHeight="false" outlineLevel="0" collapsed="false">
      <c r="A107" s="41"/>
      <c r="B107" s="41"/>
      <c r="C107" s="13"/>
      <c r="D107" s="41"/>
      <c r="E107" s="41"/>
      <c r="F107" s="41"/>
      <c r="G107" s="42"/>
      <c r="H107" s="41"/>
      <c r="I107" s="41"/>
      <c r="J107" s="42"/>
      <c r="K107" s="13"/>
    </row>
    <row r="108" customFormat="false" ht="15" hidden="false" customHeight="false" outlineLevel="0" collapsed="false">
      <c r="A108" s="41"/>
      <c r="B108" s="41"/>
      <c r="C108" s="13"/>
      <c r="D108" s="41"/>
      <c r="E108" s="41"/>
      <c r="F108" s="41"/>
      <c r="G108" s="42"/>
      <c r="H108" s="41"/>
      <c r="I108" s="41"/>
      <c r="J108" s="42"/>
      <c r="K108" s="13"/>
    </row>
    <row r="109" customFormat="false" ht="15" hidden="false" customHeight="false" outlineLevel="0" collapsed="false">
      <c r="A109" s="41"/>
      <c r="B109" s="41"/>
      <c r="C109" s="13"/>
      <c r="D109" s="41"/>
      <c r="E109" s="41"/>
      <c r="F109" s="41"/>
      <c r="G109" s="42"/>
      <c r="H109" s="41"/>
      <c r="I109" s="41"/>
      <c r="J109" s="42"/>
      <c r="K109" s="13"/>
    </row>
    <row r="110" customFormat="false" ht="15" hidden="false" customHeight="false" outlineLevel="0" collapsed="false">
      <c r="A110" s="41"/>
      <c r="B110" s="41"/>
      <c r="C110" s="13"/>
      <c r="D110" s="41"/>
      <c r="E110" s="41"/>
      <c r="F110" s="41"/>
      <c r="G110" s="42"/>
      <c r="H110" s="41"/>
      <c r="I110" s="41"/>
      <c r="J110" s="42"/>
      <c r="K110" s="13"/>
    </row>
    <row r="111" customFormat="false" ht="15" hidden="false" customHeight="false" outlineLevel="0" collapsed="false">
      <c r="A111" s="41"/>
      <c r="B111" s="41"/>
      <c r="C111" s="13"/>
      <c r="D111" s="41"/>
      <c r="E111" s="41"/>
      <c r="F111" s="41"/>
      <c r="G111" s="42"/>
      <c r="H111" s="41"/>
      <c r="I111" s="41"/>
      <c r="J111" s="42"/>
      <c r="K111" s="13"/>
    </row>
    <row r="112" customFormat="false" ht="15" hidden="false" customHeight="false" outlineLevel="0" collapsed="false">
      <c r="A112" s="41"/>
      <c r="B112" s="41"/>
      <c r="C112" s="13"/>
      <c r="D112" s="41"/>
      <c r="E112" s="41"/>
      <c r="F112" s="41"/>
      <c r="G112" s="42"/>
      <c r="H112" s="41"/>
      <c r="I112" s="41"/>
      <c r="J112" s="42"/>
      <c r="K112" s="13"/>
    </row>
    <row r="113" customFormat="false" ht="15" hidden="false" customHeight="false" outlineLevel="0" collapsed="false">
      <c r="A113" s="41"/>
      <c r="B113" s="41"/>
      <c r="C113" s="13"/>
      <c r="D113" s="41"/>
      <c r="E113" s="41"/>
      <c r="F113" s="41"/>
      <c r="G113" s="42"/>
      <c r="H113" s="41"/>
      <c r="I113" s="41"/>
      <c r="J113" s="42"/>
      <c r="K113" s="13"/>
    </row>
    <row r="114" customFormat="false" ht="15" hidden="false" customHeight="false" outlineLevel="0" collapsed="false">
      <c r="A114" s="41"/>
      <c r="B114" s="41"/>
      <c r="C114" s="13"/>
      <c r="D114" s="41"/>
      <c r="E114" s="41"/>
      <c r="F114" s="41"/>
      <c r="G114" s="42"/>
      <c r="H114" s="41"/>
      <c r="I114" s="41"/>
      <c r="J114" s="42"/>
      <c r="K114" s="13"/>
    </row>
    <row r="115" customFormat="false" ht="15" hidden="false" customHeight="false" outlineLevel="0" collapsed="false">
      <c r="A115" s="41"/>
      <c r="B115" s="41"/>
      <c r="C115" s="13"/>
      <c r="D115" s="41"/>
      <c r="E115" s="41"/>
      <c r="F115" s="41"/>
      <c r="G115" s="42"/>
      <c r="H115" s="41"/>
      <c r="I115" s="41"/>
      <c r="J115" s="42"/>
      <c r="K115" s="13"/>
    </row>
    <row r="116" customFormat="false" ht="15" hidden="false" customHeight="false" outlineLevel="0" collapsed="false">
      <c r="A116" s="41"/>
      <c r="B116" s="41"/>
      <c r="C116" s="13"/>
      <c r="D116" s="41"/>
      <c r="E116" s="41"/>
      <c r="F116" s="41"/>
      <c r="G116" s="42"/>
      <c r="H116" s="41"/>
      <c r="I116" s="41"/>
      <c r="J116" s="42"/>
      <c r="K116" s="13"/>
    </row>
    <row r="117" customFormat="false" ht="15" hidden="false" customHeight="false" outlineLevel="0" collapsed="false">
      <c r="A117" s="41"/>
      <c r="B117" s="41"/>
      <c r="C117" s="13"/>
      <c r="D117" s="41"/>
      <c r="E117" s="41"/>
      <c r="F117" s="41"/>
      <c r="G117" s="42"/>
      <c r="H117" s="41"/>
      <c r="I117" s="41"/>
      <c r="J117" s="42"/>
      <c r="K117" s="13"/>
    </row>
    <row r="118" customFormat="false" ht="15" hidden="false" customHeight="false" outlineLevel="0" collapsed="false">
      <c r="A118" s="41"/>
      <c r="B118" s="41"/>
      <c r="C118" s="13"/>
      <c r="D118" s="41"/>
      <c r="E118" s="41"/>
      <c r="F118" s="41"/>
      <c r="G118" s="42"/>
      <c r="H118" s="41"/>
      <c r="I118" s="41"/>
      <c r="J118" s="42"/>
      <c r="K118" s="13"/>
    </row>
    <row r="119" customFormat="false" ht="15" hidden="false" customHeight="false" outlineLevel="0" collapsed="false">
      <c r="A119" s="41"/>
      <c r="B119" s="41"/>
      <c r="C119" s="13"/>
      <c r="D119" s="41"/>
      <c r="E119" s="41"/>
      <c r="F119" s="41"/>
      <c r="G119" s="42"/>
      <c r="H119" s="41"/>
      <c r="I119" s="41"/>
      <c r="J119" s="42"/>
      <c r="K119" s="13"/>
    </row>
    <row r="120" customFormat="false" ht="15" hidden="false" customHeight="false" outlineLevel="0" collapsed="false">
      <c r="A120" s="41"/>
      <c r="B120" s="41"/>
      <c r="C120" s="13"/>
      <c r="D120" s="41"/>
      <c r="E120" s="41"/>
      <c r="F120" s="41"/>
      <c r="G120" s="42"/>
      <c r="H120" s="41"/>
      <c r="I120" s="41"/>
      <c r="J120" s="42"/>
      <c r="K120" s="13"/>
    </row>
    <row r="121" customFormat="false" ht="15" hidden="false" customHeight="false" outlineLevel="0" collapsed="false">
      <c r="A121" s="41"/>
      <c r="B121" s="41"/>
      <c r="C121" s="13"/>
      <c r="D121" s="41"/>
      <c r="E121" s="41"/>
      <c r="F121" s="41"/>
      <c r="G121" s="42"/>
      <c r="H121" s="41"/>
      <c r="I121" s="41"/>
      <c r="J121" s="42"/>
      <c r="K121" s="13"/>
    </row>
    <row r="122" customFormat="false" ht="15" hidden="false" customHeight="false" outlineLevel="0" collapsed="false">
      <c r="A122" s="41"/>
      <c r="B122" s="41"/>
      <c r="C122" s="13"/>
      <c r="D122" s="41"/>
      <c r="E122" s="41"/>
      <c r="F122" s="41"/>
      <c r="G122" s="42"/>
      <c r="H122" s="41"/>
      <c r="I122" s="41"/>
      <c r="J122" s="42"/>
      <c r="K122" s="13"/>
    </row>
    <row r="123" customFormat="false" ht="15" hidden="false" customHeight="false" outlineLevel="0" collapsed="false">
      <c r="A123" s="41"/>
      <c r="B123" s="41"/>
      <c r="C123" s="13"/>
      <c r="D123" s="41"/>
      <c r="E123" s="41"/>
      <c r="F123" s="41"/>
      <c r="G123" s="42"/>
      <c r="H123" s="41"/>
      <c r="I123" s="41"/>
      <c r="J123" s="42"/>
      <c r="K123" s="13"/>
    </row>
    <row r="124" customFormat="false" ht="15" hidden="false" customHeight="false" outlineLevel="0" collapsed="false">
      <c r="A124" s="41"/>
      <c r="B124" s="41"/>
      <c r="C124" s="13"/>
      <c r="D124" s="41"/>
      <c r="E124" s="41"/>
      <c r="F124" s="41"/>
      <c r="G124" s="42"/>
      <c r="H124" s="41"/>
      <c r="I124" s="41"/>
      <c r="J124" s="42"/>
      <c r="K124" s="13"/>
    </row>
    <row r="125" customFormat="false" ht="15" hidden="false" customHeight="false" outlineLevel="0" collapsed="false">
      <c r="A125" s="41"/>
      <c r="B125" s="41"/>
      <c r="C125" s="13"/>
      <c r="D125" s="41"/>
      <c r="E125" s="41"/>
      <c r="F125" s="41"/>
      <c r="G125" s="42"/>
      <c r="H125" s="41"/>
      <c r="I125" s="41"/>
      <c r="J125" s="42"/>
      <c r="K125" s="13"/>
    </row>
    <row r="126" customFormat="false" ht="15" hidden="false" customHeight="false" outlineLevel="0" collapsed="false">
      <c r="A126" s="41"/>
      <c r="B126" s="41"/>
      <c r="C126" s="13"/>
      <c r="D126" s="41"/>
      <c r="E126" s="41"/>
      <c r="F126" s="41"/>
      <c r="G126" s="42"/>
      <c r="H126" s="41"/>
      <c r="I126" s="41"/>
      <c r="J126" s="42"/>
      <c r="K126" s="13"/>
    </row>
    <row r="127" customFormat="false" ht="15" hidden="false" customHeight="false" outlineLevel="0" collapsed="false">
      <c r="A127" s="41"/>
      <c r="B127" s="41"/>
      <c r="C127" s="13"/>
      <c r="D127" s="41"/>
      <c r="E127" s="41"/>
      <c r="F127" s="41"/>
      <c r="G127" s="42"/>
      <c r="H127" s="41"/>
      <c r="I127" s="41"/>
      <c r="J127" s="42"/>
      <c r="K127" s="13"/>
    </row>
    <row r="128" customFormat="false" ht="15" hidden="false" customHeight="false" outlineLevel="0" collapsed="false">
      <c r="A128" s="41"/>
      <c r="B128" s="41"/>
      <c r="C128" s="13"/>
      <c r="D128" s="41"/>
      <c r="E128" s="41"/>
      <c r="F128" s="41"/>
      <c r="G128" s="42"/>
      <c r="H128" s="41"/>
      <c r="I128" s="41"/>
      <c r="J128" s="42"/>
      <c r="K128" s="13"/>
    </row>
    <row r="129" customFormat="false" ht="15" hidden="false" customHeight="false" outlineLevel="0" collapsed="false">
      <c r="A129" s="41"/>
      <c r="B129" s="41"/>
      <c r="C129" s="13"/>
      <c r="D129" s="41"/>
      <c r="E129" s="41"/>
      <c r="F129" s="41"/>
      <c r="G129" s="42"/>
      <c r="H129" s="41"/>
      <c r="I129" s="41"/>
      <c r="J129" s="42"/>
      <c r="K129" s="13"/>
    </row>
    <row r="130" customFormat="false" ht="15" hidden="false" customHeight="false" outlineLevel="0" collapsed="false">
      <c r="A130" s="41"/>
      <c r="B130" s="41"/>
      <c r="C130" s="13"/>
      <c r="D130" s="41"/>
      <c r="E130" s="41"/>
      <c r="F130" s="41"/>
      <c r="G130" s="42"/>
      <c r="H130" s="41"/>
      <c r="I130" s="41"/>
      <c r="J130" s="42"/>
      <c r="K130" s="13"/>
    </row>
    <row r="131" customFormat="false" ht="15" hidden="false" customHeight="false" outlineLevel="0" collapsed="false">
      <c r="A131" s="41"/>
      <c r="B131" s="41"/>
      <c r="C131" s="13"/>
      <c r="D131" s="41"/>
      <c r="E131" s="41"/>
      <c r="F131" s="41"/>
      <c r="G131" s="42"/>
      <c r="H131" s="41"/>
      <c r="I131" s="41"/>
      <c r="J131" s="42"/>
      <c r="K131" s="13"/>
    </row>
    <row r="132" customFormat="false" ht="15" hidden="false" customHeight="false" outlineLevel="0" collapsed="false">
      <c r="A132" s="41"/>
      <c r="B132" s="41"/>
      <c r="C132" s="13"/>
      <c r="D132" s="41"/>
      <c r="E132" s="41"/>
      <c r="F132" s="41"/>
      <c r="G132" s="42"/>
      <c r="H132" s="41"/>
      <c r="I132" s="41"/>
      <c r="J132" s="42"/>
      <c r="K132" s="13"/>
    </row>
    <row r="133" customFormat="false" ht="15" hidden="false" customHeight="false" outlineLevel="0" collapsed="false">
      <c r="A133" s="41"/>
      <c r="B133" s="41"/>
      <c r="C133" s="13"/>
      <c r="D133" s="41"/>
      <c r="E133" s="41"/>
      <c r="F133" s="41"/>
      <c r="G133" s="42"/>
      <c r="H133" s="41"/>
      <c r="I133" s="41"/>
      <c r="J133" s="42"/>
      <c r="K133" s="13"/>
    </row>
    <row r="134" customFormat="false" ht="15" hidden="false" customHeight="false" outlineLevel="0" collapsed="false">
      <c r="A134" s="41"/>
      <c r="B134" s="41"/>
      <c r="C134" s="13"/>
      <c r="D134" s="41"/>
      <c r="E134" s="41"/>
      <c r="F134" s="41"/>
      <c r="G134" s="42"/>
      <c r="H134" s="41"/>
      <c r="I134" s="41"/>
      <c r="J134" s="42"/>
      <c r="K134" s="13"/>
    </row>
    <row r="135" customFormat="false" ht="15" hidden="false" customHeight="false" outlineLevel="0" collapsed="false">
      <c r="A135" s="41"/>
      <c r="B135" s="41"/>
      <c r="C135" s="13"/>
      <c r="D135" s="41"/>
      <c r="E135" s="41"/>
      <c r="F135" s="41"/>
      <c r="G135" s="42"/>
      <c r="H135" s="41"/>
      <c r="I135" s="41"/>
      <c r="J135" s="42"/>
      <c r="K135" s="13"/>
    </row>
    <row r="136" customFormat="false" ht="15" hidden="false" customHeight="false" outlineLevel="0" collapsed="false">
      <c r="A136" s="41"/>
      <c r="B136" s="41"/>
      <c r="C136" s="13"/>
      <c r="D136" s="41"/>
      <c r="E136" s="41"/>
      <c r="F136" s="41"/>
      <c r="G136" s="42"/>
      <c r="H136" s="41"/>
      <c r="I136" s="41"/>
      <c r="J136" s="42"/>
      <c r="K136" s="13"/>
    </row>
    <row r="137" customFormat="false" ht="15" hidden="false" customHeight="false" outlineLevel="0" collapsed="false">
      <c r="A137" s="41"/>
      <c r="B137" s="41"/>
      <c r="C137" s="13"/>
      <c r="D137" s="41"/>
      <c r="E137" s="41"/>
      <c r="F137" s="41"/>
      <c r="G137" s="42"/>
      <c r="H137" s="41"/>
      <c r="I137" s="41"/>
      <c r="J137" s="42"/>
      <c r="K137" s="13"/>
    </row>
    <row r="138" customFormat="false" ht="15" hidden="false" customHeight="false" outlineLevel="0" collapsed="false">
      <c r="A138" s="41"/>
      <c r="B138" s="41"/>
      <c r="C138" s="13"/>
      <c r="D138" s="41"/>
      <c r="E138" s="41"/>
      <c r="F138" s="41"/>
      <c r="G138" s="42"/>
      <c r="H138" s="41"/>
      <c r="I138" s="41"/>
      <c r="J138" s="42"/>
      <c r="K138" s="13"/>
    </row>
    <row r="139" customFormat="false" ht="15" hidden="false" customHeight="false" outlineLevel="0" collapsed="false">
      <c r="A139" s="41"/>
      <c r="B139" s="41"/>
      <c r="C139" s="13"/>
      <c r="D139" s="41"/>
      <c r="E139" s="41"/>
      <c r="F139" s="41"/>
      <c r="G139" s="42"/>
      <c r="H139" s="41"/>
      <c r="I139" s="41"/>
      <c r="J139" s="42"/>
      <c r="K139" s="13"/>
    </row>
    <row r="140" customFormat="false" ht="15" hidden="false" customHeight="false" outlineLevel="0" collapsed="false">
      <c r="A140" s="41"/>
      <c r="B140" s="41"/>
      <c r="C140" s="13"/>
      <c r="D140" s="41"/>
      <c r="E140" s="41"/>
      <c r="F140" s="41"/>
      <c r="G140" s="42"/>
      <c r="H140" s="41"/>
      <c r="I140" s="41"/>
      <c r="J140" s="42"/>
      <c r="K140" s="13"/>
    </row>
    <row r="141" customFormat="false" ht="15" hidden="false" customHeight="false" outlineLevel="0" collapsed="false">
      <c r="A141" s="41"/>
      <c r="B141" s="41"/>
      <c r="C141" s="13"/>
      <c r="D141" s="41"/>
      <c r="E141" s="41"/>
      <c r="F141" s="41"/>
      <c r="G141" s="42"/>
      <c r="H141" s="41"/>
      <c r="I141" s="41"/>
      <c r="J141" s="42"/>
      <c r="K141" s="13"/>
    </row>
    <row r="142" customFormat="false" ht="15" hidden="false" customHeight="false" outlineLevel="0" collapsed="false">
      <c r="A142" s="41"/>
      <c r="B142" s="41"/>
      <c r="C142" s="13"/>
      <c r="D142" s="41"/>
      <c r="E142" s="41"/>
      <c r="F142" s="41"/>
      <c r="G142" s="42"/>
      <c r="H142" s="41"/>
      <c r="I142" s="41"/>
      <c r="J142" s="42"/>
      <c r="K142" s="13"/>
    </row>
    <row r="143" customFormat="false" ht="15" hidden="false" customHeight="false" outlineLevel="0" collapsed="false">
      <c r="A143" s="41"/>
      <c r="B143" s="41"/>
      <c r="C143" s="13"/>
      <c r="D143" s="41"/>
      <c r="E143" s="41"/>
      <c r="F143" s="41"/>
      <c r="G143" s="42"/>
      <c r="H143" s="41"/>
      <c r="I143" s="41"/>
      <c r="J143" s="42"/>
      <c r="K143" s="13"/>
    </row>
    <row r="144" customFormat="false" ht="15" hidden="false" customHeight="false" outlineLevel="0" collapsed="false">
      <c r="A144" s="41"/>
      <c r="B144" s="41"/>
      <c r="C144" s="13"/>
      <c r="D144" s="41"/>
      <c r="E144" s="41"/>
      <c r="F144" s="41"/>
      <c r="G144" s="42"/>
      <c r="H144" s="41"/>
      <c r="I144" s="41"/>
      <c r="J144" s="42"/>
      <c r="K144" s="13"/>
    </row>
    <row r="145" customFormat="false" ht="15" hidden="false" customHeight="false" outlineLevel="0" collapsed="false">
      <c r="A145" s="41"/>
      <c r="B145" s="41"/>
      <c r="C145" s="13"/>
      <c r="D145" s="41"/>
      <c r="E145" s="41"/>
      <c r="F145" s="41"/>
      <c r="G145" s="42"/>
      <c r="H145" s="41"/>
      <c r="I145" s="41"/>
      <c r="J145" s="42"/>
      <c r="K145" s="13"/>
    </row>
    <row r="146" customFormat="false" ht="15" hidden="false" customHeight="false" outlineLevel="0" collapsed="false">
      <c r="A146" s="41"/>
      <c r="B146" s="41"/>
      <c r="C146" s="13"/>
      <c r="D146" s="41"/>
      <c r="E146" s="41"/>
      <c r="F146" s="41"/>
      <c r="G146" s="42"/>
      <c r="H146" s="41"/>
      <c r="I146" s="41"/>
      <c r="J146" s="42"/>
      <c r="K146" s="13"/>
    </row>
    <row r="147" customFormat="false" ht="15" hidden="false" customHeight="false" outlineLevel="0" collapsed="false">
      <c r="A147" s="41"/>
      <c r="B147" s="41"/>
      <c r="C147" s="13"/>
      <c r="D147" s="41"/>
      <c r="E147" s="41"/>
      <c r="F147" s="41"/>
      <c r="G147" s="42"/>
      <c r="H147" s="41"/>
      <c r="I147" s="41"/>
      <c r="J147" s="42"/>
      <c r="K147" s="13"/>
    </row>
    <row r="148" customFormat="false" ht="15" hidden="false" customHeight="false" outlineLevel="0" collapsed="false">
      <c r="A148" s="41"/>
      <c r="B148" s="41"/>
      <c r="C148" s="13"/>
      <c r="D148" s="41"/>
      <c r="E148" s="41"/>
      <c r="F148" s="41"/>
      <c r="G148" s="42"/>
      <c r="H148" s="41"/>
      <c r="I148" s="41"/>
      <c r="J148" s="42"/>
      <c r="K148" s="13"/>
    </row>
    <row r="149" customFormat="false" ht="15" hidden="false" customHeight="false" outlineLevel="0" collapsed="false">
      <c r="A149" s="41"/>
      <c r="B149" s="41"/>
      <c r="C149" s="13"/>
      <c r="D149" s="41"/>
      <c r="E149" s="41"/>
      <c r="F149" s="41"/>
      <c r="G149" s="42"/>
      <c r="H149" s="41"/>
      <c r="I149" s="41"/>
      <c r="J149" s="42"/>
      <c r="K149" s="13"/>
    </row>
    <row r="150" customFormat="false" ht="15" hidden="false" customHeight="false" outlineLevel="0" collapsed="false">
      <c r="A150" s="41"/>
      <c r="B150" s="41"/>
      <c r="C150" s="13"/>
      <c r="D150" s="41"/>
      <c r="E150" s="41"/>
      <c r="F150" s="41"/>
      <c r="G150" s="42"/>
      <c r="H150" s="41"/>
      <c r="I150" s="41"/>
      <c r="J150" s="42"/>
      <c r="K150" s="13"/>
    </row>
  </sheetData>
  <mergeCells count="1">
    <mergeCell ref="A1:K1"/>
  </mergeCells>
  <dataValidations count="3">
    <dataValidation allowBlank="true" errorStyle="stop" operator="between" showDropDown="false" showErrorMessage="false" showInputMessage="false" sqref="F3:F150" type="list">
      <formula1>Lists!$K$3:$K$8</formula1>
      <formula2>0</formula2>
    </dataValidation>
    <dataValidation allowBlank="true" errorStyle="stop" operator="between" showDropDown="false" showErrorMessage="false" showInputMessage="false" sqref="H3:H150" type="list">
      <formula1>Lists!$J$3:$J$10</formula1>
      <formula2>0</formula2>
    </dataValidation>
    <dataValidation allowBlank="true" errorStyle="stop" operator="between" showDropDown="false" showErrorMessage="false" showInputMessage="false" sqref="I3:I150" type="list">
      <formula1>Lists!$M$3:$M$13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3" min="3" style="0" width="3"/>
    <col collapsed="false" customWidth="true" hidden="false" outlineLevel="0" max="4" min="4" style="0" width="46"/>
    <col collapsed="false" customWidth="true" hidden="false" outlineLevel="0" max="5" min="5" style="0" width="40"/>
  </cols>
  <sheetData>
    <row r="1" customFormat="false" ht="30" hidden="false" customHeight="true" outlineLevel="0" collapsed="false">
      <c r="A1" s="53" t="s">
        <v>376</v>
      </c>
      <c r="B1" s="53"/>
      <c r="C1" s="53"/>
      <c r="D1" s="53"/>
      <c r="E1" s="53"/>
    </row>
    <row r="2" customFormat="false" ht="27.75" hidden="false" customHeight="true" outlineLevel="0" collapsed="false">
      <c r="A2" s="54" t="s">
        <v>377</v>
      </c>
      <c r="B2" s="54"/>
      <c r="C2" s="54"/>
      <c r="D2" s="54"/>
      <c r="E2" s="54"/>
    </row>
    <row r="4" customFormat="false" ht="24" hidden="false" customHeight="true" outlineLevel="0" collapsed="false">
      <c r="A4" s="55" t="s">
        <v>378</v>
      </c>
      <c r="B4" s="55"/>
      <c r="D4" s="56" t="s">
        <v>379</v>
      </c>
      <c r="E4" s="56"/>
    </row>
    <row r="5" customFormat="false" ht="15" hidden="false" customHeight="false" outlineLevel="0" collapsed="false">
      <c r="A5" s="57" t="s">
        <v>380</v>
      </c>
      <c r="B5" s="57" t="s">
        <v>381</v>
      </c>
      <c r="D5" s="58" t="s">
        <v>380</v>
      </c>
      <c r="E5" s="58" t="s">
        <v>381</v>
      </c>
    </row>
    <row r="6" customFormat="false" ht="30" hidden="false" customHeight="true" outlineLevel="0" collapsed="false">
      <c r="A6" s="59" t="s">
        <v>382</v>
      </c>
      <c r="B6" s="60" t="s">
        <v>383</v>
      </c>
      <c r="D6" s="61" t="s">
        <v>384</v>
      </c>
      <c r="E6" s="60" t="s">
        <v>385</v>
      </c>
    </row>
    <row r="7" customFormat="false" ht="30" hidden="false" customHeight="true" outlineLevel="0" collapsed="false">
      <c r="A7" s="59" t="s">
        <v>386</v>
      </c>
      <c r="B7" s="60" t="s">
        <v>387</v>
      </c>
      <c r="D7" s="61" t="s">
        <v>388</v>
      </c>
      <c r="E7" s="60" t="s">
        <v>389</v>
      </c>
    </row>
    <row r="8" customFormat="false" ht="30" hidden="false" customHeight="true" outlineLevel="0" collapsed="false">
      <c r="A8" s="59" t="s">
        <v>390</v>
      </c>
      <c r="B8" s="60" t="s">
        <v>391</v>
      </c>
      <c r="D8" s="61" t="s">
        <v>392</v>
      </c>
      <c r="E8" s="60" t="s">
        <v>393</v>
      </c>
    </row>
    <row r="9" customFormat="false" ht="30" hidden="false" customHeight="true" outlineLevel="0" collapsed="false">
      <c r="A9" s="59" t="s">
        <v>394</v>
      </c>
      <c r="B9" s="60" t="s">
        <v>395</v>
      </c>
      <c r="D9" s="61" t="s">
        <v>396</v>
      </c>
      <c r="E9" s="60" t="s">
        <v>397</v>
      </c>
    </row>
    <row r="10" customFormat="false" ht="30" hidden="false" customHeight="true" outlineLevel="0" collapsed="false">
      <c r="A10" s="59" t="s">
        <v>398</v>
      </c>
      <c r="B10" s="60" t="s">
        <v>399</v>
      </c>
      <c r="D10" s="61" t="s">
        <v>400</v>
      </c>
      <c r="E10" s="60" t="s">
        <v>401</v>
      </c>
    </row>
    <row r="11" customFormat="false" ht="30" hidden="false" customHeight="true" outlineLevel="0" collapsed="false">
      <c r="A11" s="59" t="s">
        <v>402</v>
      </c>
      <c r="B11" s="60" t="s">
        <v>403</v>
      </c>
    </row>
    <row r="12" customFormat="false" ht="30" hidden="false" customHeight="true" outlineLevel="0" collapsed="false">
      <c r="A12" s="59" t="s">
        <v>404</v>
      </c>
      <c r="B12" s="60" t="s">
        <v>405</v>
      </c>
    </row>
    <row r="13" customFormat="false" ht="30" hidden="false" customHeight="true" outlineLevel="0" collapsed="false">
      <c r="A13" s="59" t="s">
        <v>406</v>
      </c>
      <c r="B13" s="60" t="s">
        <v>407</v>
      </c>
    </row>
    <row r="14" customFormat="false" ht="30" hidden="false" customHeight="true" outlineLevel="0" collapsed="false">
      <c r="A14" s="59" t="s">
        <v>408</v>
      </c>
      <c r="B14" s="60" t="s">
        <v>409</v>
      </c>
    </row>
    <row r="16" customFormat="false" ht="24" hidden="false" customHeight="true" outlineLevel="0" collapsed="false">
      <c r="A16" s="62" t="s">
        <v>410</v>
      </c>
      <c r="B16" s="62"/>
      <c r="D16" s="63" t="s">
        <v>411</v>
      </c>
      <c r="E16" s="63"/>
    </row>
    <row r="17" customFormat="false" ht="15" hidden="false" customHeight="false" outlineLevel="0" collapsed="false">
      <c r="A17" s="64" t="s">
        <v>380</v>
      </c>
      <c r="B17" s="64" t="s">
        <v>381</v>
      </c>
      <c r="D17" s="65" t="s">
        <v>380</v>
      </c>
      <c r="E17" s="65" t="s">
        <v>381</v>
      </c>
    </row>
    <row r="18" customFormat="false" ht="30" hidden="false" customHeight="true" outlineLevel="0" collapsed="false">
      <c r="A18" s="66" t="s">
        <v>412</v>
      </c>
      <c r="B18" s="60" t="s">
        <v>413</v>
      </c>
      <c r="D18" s="67" t="s">
        <v>414</v>
      </c>
      <c r="E18" s="60" t="s">
        <v>415</v>
      </c>
    </row>
    <row r="19" customFormat="false" ht="30" hidden="false" customHeight="true" outlineLevel="0" collapsed="false">
      <c r="A19" s="66" t="s">
        <v>416</v>
      </c>
      <c r="B19" s="60" t="s">
        <v>417</v>
      </c>
      <c r="D19" s="67" t="s">
        <v>418</v>
      </c>
      <c r="E19" s="60" t="s">
        <v>419</v>
      </c>
    </row>
    <row r="20" customFormat="false" ht="30" hidden="false" customHeight="true" outlineLevel="0" collapsed="false">
      <c r="A20" s="66" t="s">
        <v>420</v>
      </c>
      <c r="B20" s="60" t="s">
        <v>421</v>
      </c>
      <c r="D20" s="67" t="s">
        <v>422</v>
      </c>
      <c r="E20" s="60" t="s">
        <v>423</v>
      </c>
    </row>
    <row r="21" customFormat="false" ht="30" hidden="false" customHeight="true" outlineLevel="0" collapsed="false">
      <c r="A21" s="66" t="s">
        <v>424</v>
      </c>
      <c r="B21" s="60" t="s">
        <v>425</v>
      </c>
      <c r="D21" s="67" t="s">
        <v>426</v>
      </c>
      <c r="E21" s="60" t="s">
        <v>427</v>
      </c>
    </row>
    <row r="22" customFormat="false" ht="30" hidden="false" customHeight="true" outlineLevel="0" collapsed="false">
      <c r="A22" s="66" t="s">
        <v>428</v>
      </c>
      <c r="B22" s="60" t="s">
        <v>429</v>
      </c>
      <c r="D22" s="67" t="s">
        <v>430</v>
      </c>
      <c r="E22" s="60" t="s">
        <v>431</v>
      </c>
    </row>
    <row r="23" customFormat="false" ht="30" hidden="false" customHeight="true" outlineLevel="0" collapsed="false">
      <c r="A23" s="66" t="s">
        <v>432</v>
      </c>
      <c r="B23" s="60" t="s">
        <v>433</v>
      </c>
    </row>
  </sheetData>
  <mergeCells count="6">
    <mergeCell ref="A1:E1"/>
    <mergeCell ref="A2:E2"/>
    <mergeCell ref="A4:B4"/>
    <mergeCell ref="D4:E4"/>
    <mergeCell ref="A16:B16"/>
    <mergeCell ref="D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13"/>
  </cols>
  <sheetData>
    <row r="1" customFormat="false" ht="15" hidden="false" customHeight="false" outlineLevel="0" collapsed="false">
      <c r="A1" s="68" t="s">
        <v>434</v>
      </c>
    </row>
    <row r="2" customFormat="false" ht="15" hidden="false" customHeight="false" outlineLevel="0" collapsed="false">
      <c r="A2" s="35" t="s">
        <v>435</v>
      </c>
      <c r="B2" s="35" t="s">
        <v>436</v>
      </c>
      <c r="C2" s="35" t="s">
        <v>437</v>
      </c>
      <c r="D2" s="35" t="s">
        <v>438</v>
      </c>
      <c r="E2" s="35" t="s">
        <v>439</v>
      </c>
      <c r="F2" s="35" t="s">
        <v>440</v>
      </c>
      <c r="G2" s="35" t="s">
        <v>441</v>
      </c>
      <c r="H2" s="35" t="s">
        <v>442</v>
      </c>
      <c r="I2" s="35" t="s">
        <v>443</v>
      </c>
      <c r="J2" s="35" t="s">
        <v>41</v>
      </c>
      <c r="K2" s="35" t="s">
        <v>444</v>
      </c>
      <c r="L2" s="35" t="s">
        <v>445</v>
      </c>
      <c r="M2" s="35" t="s">
        <v>446</v>
      </c>
    </row>
    <row r="3" customFormat="false" ht="15" hidden="false" customHeight="false" outlineLevel="0" collapsed="false">
      <c r="A3" s="13" t="s">
        <v>29</v>
      </c>
      <c r="B3" s="13" t="s">
        <v>28</v>
      </c>
      <c r="C3" s="13" t="s">
        <v>80</v>
      </c>
      <c r="D3" s="13" t="s">
        <v>89</v>
      </c>
      <c r="E3" s="13" t="s">
        <v>43</v>
      </c>
      <c r="F3" s="13" t="n">
        <v>1</v>
      </c>
      <c r="G3" s="13" t="s">
        <v>447</v>
      </c>
      <c r="H3" s="13" t="s">
        <v>85</v>
      </c>
      <c r="I3" s="13" t="s">
        <v>362</v>
      </c>
      <c r="J3" s="13" t="s">
        <v>373</v>
      </c>
      <c r="K3" s="13" t="s">
        <v>45</v>
      </c>
      <c r="L3" s="13" t="s">
        <v>448</v>
      </c>
      <c r="M3" s="13" t="s">
        <v>364</v>
      </c>
    </row>
    <row r="4" customFormat="false" ht="22.35" hidden="false" customHeight="false" outlineLevel="0" collapsed="false">
      <c r="A4" s="13" t="s">
        <v>31</v>
      </c>
      <c r="B4" s="13" t="s">
        <v>8</v>
      </c>
      <c r="C4" s="13" t="s">
        <v>233</v>
      </c>
      <c r="D4" s="13" t="s">
        <v>81</v>
      </c>
      <c r="E4" s="13" t="s">
        <v>44</v>
      </c>
      <c r="F4" s="13" t="n">
        <v>2</v>
      </c>
      <c r="G4" s="13" t="s">
        <v>449</v>
      </c>
      <c r="H4" s="13" t="s">
        <v>450</v>
      </c>
      <c r="I4" s="13" t="s">
        <v>8</v>
      </c>
      <c r="J4" s="13" t="s">
        <v>451</v>
      </c>
      <c r="K4" s="13" t="s">
        <v>452</v>
      </c>
      <c r="L4" s="13" t="s">
        <v>453</v>
      </c>
      <c r="M4" s="13" t="s">
        <v>454</v>
      </c>
    </row>
    <row r="5" customFormat="false" ht="22.35" hidden="false" customHeight="false" outlineLevel="0" collapsed="false">
      <c r="A5" s="13" t="s">
        <v>32</v>
      </c>
      <c r="B5" s="13" t="s">
        <v>16</v>
      </c>
      <c r="C5" s="13" t="s">
        <v>455</v>
      </c>
      <c r="D5" s="13" t="s">
        <v>456</v>
      </c>
      <c r="E5" s="13" t="s">
        <v>45</v>
      </c>
      <c r="F5" s="13" t="n">
        <v>3</v>
      </c>
      <c r="H5" s="13" t="s">
        <v>104</v>
      </c>
      <c r="I5" s="13" t="s">
        <v>457</v>
      </c>
      <c r="J5" s="13" t="s">
        <v>458</v>
      </c>
      <c r="K5" s="13" t="s">
        <v>459</v>
      </c>
      <c r="L5" s="13" t="s">
        <v>460</v>
      </c>
      <c r="M5" s="13" t="s">
        <v>374</v>
      </c>
    </row>
    <row r="6" customFormat="false" ht="15" hidden="false" customHeight="false" outlineLevel="0" collapsed="false">
      <c r="A6" s="13" t="s">
        <v>33</v>
      </c>
      <c r="B6" s="13" t="s">
        <v>17</v>
      </c>
      <c r="C6" s="13" t="s">
        <v>461</v>
      </c>
      <c r="D6" s="13" t="s">
        <v>339</v>
      </c>
      <c r="E6" s="13" t="s">
        <v>46</v>
      </c>
      <c r="F6" s="13" t="n">
        <v>4</v>
      </c>
      <c r="H6" s="13" t="s">
        <v>462</v>
      </c>
      <c r="I6" s="13" t="s">
        <v>463</v>
      </c>
      <c r="J6" s="13" t="s">
        <v>464</v>
      </c>
      <c r="K6" s="13" t="s">
        <v>465</v>
      </c>
      <c r="L6" s="13" t="s">
        <v>466</v>
      </c>
      <c r="M6" s="13" t="s">
        <v>467</v>
      </c>
    </row>
    <row r="7" customFormat="false" ht="15" hidden="false" customHeight="false" outlineLevel="0" collapsed="false">
      <c r="A7" s="13" t="s">
        <v>34</v>
      </c>
      <c r="B7" s="13" t="s">
        <v>18</v>
      </c>
      <c r="D7" s="13" t="s">
        <v>206</v>
      </c>
      <c r="E7" s="13" t="s">
        <v>47</v>
      </c>
      <c r="F7" s="13" t="n">
        <v>5</v>
      </c>
      <c r="H7" s="13" t="s">
        <v>468</v>
      </c>
      <c r="I7" s="13" t="s">
        <v>469</v>
      </c>
      <c r="J7" s="13" t="s">
        <v>18</v>
      </c>
      <c r="K7" s="13" t="s">
        <v>47</v>
      </c>
      <c r="L7" s="13" t="s">
        <v>470</v>
      </c>
      <c r="M7" s="13" t="s">
        <v>471</v>
      </c>
    </row>
    <row r="8" customFormat="false" ht="22.35" hidden="false" customHeight="false" outlineLevel="0" collapsed="false">
      <c r="A8" s="13" t="s">
        <v>35</v>
      </c>
      <c r="B8" s="13" t="s">
        <v>19</v>
      </c>
      <c r="D8" s="13" t="s">
        <v>472</v>
      </c>
      <c r="E8" s="13" t="s">
        <v>48</v>
      </c>
      <c r="I8" s="13" t="s">
        <v>473</v>
      </c>
      <c r="J8" s="13" t="s">
        <v>19</v>
      </c>
      <c r="K8" s="13" t="s">
        <v>474</v>
      </c>
      <c r="L8" s="13" t="s">
        <v>475</v>
      </c>
      <c r="M8" s="13" t="s">
        <v>476</v>
      </c>
    </row>
    <row r="9" customFormat="false" ht="22.35" hidden="false" customHeight="false" outlineLevel="0" collapsed="false">
      <c r="A9" s="13" t="s">
        <v>36</v>
      </c>
      <c r="B9" s="13" t="s">
        <v>68</v>
      </c>
      <c r="D9" s="13" t="s">
        <v>461</v>
      </c>
      <c r="I9" s="13" t="s">
        <v>477</v>
      </c>
      <c r="J9" s="13" t="s">
        <v>68</v>
      </c>
      <c r="L9" s="13" t="s">
        <v>478</v>
      </c>
      <c r="M9" s="13" t="s">
        <v>479</v>
      </c>
    </row>
    <row r="10" customFormat="false" ht="22.35" hidden="false" customHeight="false" outlineLevel="0" collapsed="false">
      <c r="A10" s="13" t="s">
        <v>37</v>
      </c>
      <c r="B10" s="13" t="s">
        <v>480</v>
      </c>
      <c r="I10" s="13" t="s">
        <v>481</v>
      </c>
      <c r="J10" s="13" t="s">
        <v>480</v>
      </c>
      <c r="L10" s="13" t="s">
        <v>482</v>
      </c>
      <c r="M10" s="13" t="s">
        <v>483</v>
      </c>
    </row>
    <row r="11" customFormat="false" ht="22.35" hidden="false" customHeight="false" outlineLevel="0" collapsed="false">
      <c r="A11" s="13" t="s">
        <v>38</v>
      </c>
      <c r="B11" s="13" t="s">
        <v>484</v>
      </c>
      <c r="I11" s="13" t="s">
        <v>485</v>
      </c>
      <c r="L11" s="13" t="s">
        <v>39</v>
      </c>
      <c r="M11" s="13" t="s">
        <v>486</v>
      </c>
    </row>
    <row r="12" customFormat="false" ht="22.35" hidden="false" customHeight="false" outlineLevel="0" collapsed="false">
      <c r="A12" s="13" t="s">
        <v>39</v>
      </c>
      <c r="I12" s="13" t="s">
        <v>487</v>
      </c>
      <c r="M12" s="13" t="s">
        <v>488</v>
      </c>
    </row>
    <row r="13" customFormat="false" ht="15" hidden="false" customHeight="false" outlineLevel="0" collapsed="false">
      <c r="I13" s="13" t="s">
        <v>489</v>
      </c>
      <c r="M13" s="13" t="s">
        <v>490</v>
      </c>
    </row>
    <row r="14" customFormat="false" ht="15" hidden="false" customHeight="false" outlineLevel="0" collapsed="false">
      <c r="I14" s="13" t="s">
        <v>491</v>
      </c>
    </row>
    <row r="15" customFormat="false" ht="15" hidden="false" customHeight="false" outlineLevel="0" collapsed="false">
      <c r="I15" s="13" t="s">
        <v>492</v>
      </c>
    </row>
    <row r="16" customFormat="false" ht="15" hidden="false" customHeight="false" outlineLevel="0" collapsed="false">
      <c r="I16" s="13" t="s">
        <v>493</v>
      </c>
    </row>
    <row r="17" customFormat="false" ht="15" hidden="false" customHeight="false" outlineLevel="0" collapsed="false">
      <c r="I17" s="13" t="s">
        <v>484</v>
      </c>
    </row>
    <row r="18" customFormat="false" ht="15" hidden="false" customHeight="false" outlineLevel="0" collapsed="false">
      <c r="I18" s="13" t="s">
        <v>68</v>
      </c>
    </row>
    <row r="19" customFormat="false" ht="15" hidden="false" customHeight="false" outlineLevel="0" collapsed="false">
      <c r="I19" s="13" t="s">
        <v>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2026-10-23T22:25:32Z</dcterms:created>
  <dc:creator>openpyxl</dc:creator>
  <dc:description/>
  <dc:language>en-US</dc:language>
  <cp:lastModifiedBy/>
  <dcterms:modified xsi:type="dcterms:W3CDTF">2026-10-23T22:25:36Z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